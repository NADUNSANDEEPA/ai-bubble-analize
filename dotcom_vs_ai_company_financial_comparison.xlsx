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4a9677794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14109629e14248"/>
    <x:sheet xmlns:r="http://schemas.openxmlformats.org/officeDocument/2006/relationships" name="DotCom_Data" sheetId="2" r:id="Reab29224cf7344f2"/>
    <x:sheet xmlns:r="http://schemas.openxmlformats.org/officeDocument/2006/relationships" name="AI_Data" sheetId="3" r:id="Rad485249ef8a4920"/>
    <x:sheet xmlns:r="http://schemas.openxmlformats.org/officeDocument/2006/relationships" name="Methodology" sheetId="4" r:id="R06f10a4ce3ba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0.0%;[Red](0.0%);-"/>
    <x:numFmt numFmtId="202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02A43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9EFF5"/>
      </x:patternFill>
    </x:fill>
    <x:fill>
      <x:patternFill patternType="solid">
        <x:fgColor rgb="FFFFF4CC"/>
      </x:patternFill>
    </x:fill>
    <x:fill>
      <x:patternFill patternType="solid">
        <x:fgColor rgb="FFF7F9FC"/>
      </x:patternFill>
    </x:fill>
  </x:fills>
  <x:borders count="8">
    <x:border/>
    <x:border/>
    <x:border>
      <x:right style="thin">
        <x:color rgb="FFE6ECF2"/>
      </x:right>
    </x:border>
    <x:border>
      <x:bottom style="thin">
        <x:color rgb="FFC9D4E0"/>
      </x:bottom>
    </x:border>
    <x:border>
      <x:right style="thin">
        <x:color rgb="FFE6ECF2"/>
      </x:right>
      <x:bottom style="thin">
        <x:color rgb="FFC9D4E0"/>
      </x:bottom>
    </x:border>
    <x:border>
      <x:right style="thin">
        <x:color rgb="FFE6ECF2"/>
      </x:right>
    </x:border>
    <x:border>
      <x:bottom style="thin">
        <x:color rgb="FFC9D4E0"/>
      </x:bottom>
    </x:border>
    <x:border>
      <x:right style="thin">
        <x:color rgb="FFE6ECF2"/>
      </x:right>
      <x:bottom style="thin">
        <x:color rgb="FFC9D4E0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200" fontId="3" fillId="0" borderId="1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/>
    <x:xf numFmtId="200" fontId="3" fillId="0" borderId="3" xfId="0" applyNumberFormat="1" applyFont="1" applyFill="1" applyBorder="1" applyAlignment="1">
      <x:alignment horizontal="right"/>
    </x:xf>
    <x:xf numFmtId="201" fontId="4" fillId="0" borderId="3" xfId="0" applyNumberFormat="1" applyFont="1" applyFill="1" applyBorder="1" applyAlignment="1">
      <x:alignment horizontal="right"/>
    </x:xf>
    <x:xf numFmtId="0" fontId="3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1" fillId="4" borderId="5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/>
    <x:xf numFmtId="200" fontId="3" fillId="0" borderId="6" xfId="0" applyNumberFormat="1" applyFont="1" applyFill="1" applyBorder="1" applyAlignment="1">
      <x:alignment horizontal="right"/>
    </x:xf>
    <x:xf numFmtId="201" fontId="4" fillId="0" borderId="6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925f8df1f4cae" /><Relationship Type="http://schemas.openxmlformats.org/officeDocument/2006/relationships/theme" Target="/xl/theme/theme1.xml" Id="R1aa242654e674dcd" /><Relationship Type="http://schemas.openxmlformats.org/officeDocument/2006/relationships/sharedStrings" Target="/xl/sharedStrings.xml" Id="Rb8c13241fff54aec" /><Relationship Type="http://schemas.openxmlformats.org/officeDocument/2006/relationships/worksheet" Target="/xl/worksheets/sheet1.xml" Id="R9b14109629e14248" /><Relationship Type="http://schemas.openxmlformats.org/officeDocument/2006/relationships/worksheet" Target="/xl/worksheets/sheet2.xml" Id="Reab29224cf7344f2" /><Relationship Type="http://schemas.openxmlformats.org/officeDocument/2006/relationships/worksheet" Target="/xl/worksheets/sheet3.xml" Id="Rad485249ef8a4920" /><Relationship Type="http://schemas.openxmlformats.org/officeDocument/2006/relationships/worksheet" Target="/xl/worksheets/sheet4.xml" Id="R06f10a4ce3ba42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2ea5898ca545cd" /><Relationship Type="http://schemas.openxmlformats.org/officeDocument/2006/relationships/chart" Target="/xl/drawings/charts/chart2.xml" Id="R27b574269f1247b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Market-value index</c:v>
          </c:tx>
          <c:cat>
            <c:strRef>
              <c:f>'Summary'!$A$25:$A$31</c:f>
              <c:strCache>
                <c:ptCount val="0"/>
              </c:strCache>
            </c:strRef>
          </c:cat>
          <c:val>
            <c:numRef>
              <c:f>'Summary'!$E$25:$E$31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index</c:v>
          </c:tx>
          <c:cat>
            <c:strRef>
              <c:f>'Summary'!$A$25:$A$31</c:f>
              <c:strCache>
                <c:ptCount val="0"/>
              </c:strCache>
            </c:strRef>
          </c:cat>
          <c:val>
            <c:numRef>
              <c:f>'Summary'!$F$25:$F$31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Profit index</c:v>
          </c:tx>
          <c:cat>
            <c:strRef>
              <c:f>'Summary'!$A$25:$A$31</c:f>
              <c:strCache>
                <c:ptCount val="0"/>
              </c:strCache>
            </c:strRef>
          </c:cat>
          <c:val>
            <c:numRef>
              <c:f>'Summary'!$G$25:$G$31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Market-value index</c:v>
          </c:tx>
          <c:cat>
            <c:strRef>
              <c:f>'Summary'!$I$25:$I$28</c:f>
              <c:strCache>
                <c:ptCount val="0"/>
              </c:strCache>
            </c:strRef>
          </c:cat>
          <c:val>
            <c:numRef>
              <c:f>'Summary'!$M$25:$M$28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index</c:v>
          </c:tx>
          <c:cat>
            <c:strRef>
              <c:f>'Summary'!$I$25:$I$28</c:f>
              <c:strCache>
                <c:ptCount val="0"/>
              </c:strCache>
            </c:strRef>
          </c:cat>
          <c:val>
            <c:numRef>
              <c:f>'Summary'!$N$25:$N$28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Profit index</c:v>
          </c:tx>
          <c:cat>
            <c:strRef>
              <c:f>'Summary'!$I$25:$I$28</c:f>
              <c:strCache>
                <c:ptCount val="0"/>
              </c:strCache>
            </c:strRef>
          </c:cat>
          <c:val>
            <c:numRef>
              <c:f>'Summary'!$O$25:$O$28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33</xdr:row>
      <xdr:rowOff>0</xdr:rowOff>
    </xdr:from>
    <xdr:to>
      <xdr:col>7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2ea5898ca545cd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15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b574269f1247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otComCompanyData" displayName="DotComCompanyData" ref="A3:P83" headerRowCount="1">
  <x:tableColumns count="16">
    <x:tableColumn id="1" name="Year"/>
    <x:tableColumn id="2" name="Company"/>
    <x:tableColumn id="3" name="Ticker / status"/>
    <x:tableColumn id="4" name="Listing status"/>
    <x:tableColumn id="5" name="Market value / valuation proxy ($bn)"/>
    <x:tableColumn id="6" name="YoY market-value growth"/>
    <x:tableColumn id="7" name="Revenue ($bn)"/>
    <x:tableColumn id="8" name="YoY revenue growth"/>
    <x:tableColumn id="9" name="Profit / earnings proxy ($bn)"/>
    <x:tableColumn id="10" name="YoY profit growth"/>
    <x:tableColumn id="11" name="Profit metric basis"/>
    <x:tableColumn id="12" name="Data completeness"/>
    <x:tableColumn id="13" name="Market-value source"/>
    <x:tableColumn id="14" name="Revenue source"/>
    <x:tableColumn id="15" name="Profit source"/>
    <x:tableColumn id="16" name="Chart basket"/>
  </x:tableColumns>
  <x:tableStyleInfo name="TableStyleMedium2" showRowStripes="1"/>
</x:table>
</file>

<file path=xl/tables/table2.xml><?xml version="1.0" encoding="utf-8"?>
<x:table xmlns:x="http://schemas.openxmlformats.org/spreadsheetml/2006/main" id="2" name="AICompanyData" displayName="AICompanyData" ref="A3:P43" headerRowCount="1">
  <x:tableColumns count="16">
    <x:tableColumn id="1" name="Year"/>
    <x:tableColumn id="2" name="Company"/>
    <x:tableColumn id="3" name="Ticker / status"/>
    <x:tableColumn id="4" name="Listing status"/>
    <x:tableColumn id="5" name="Market value / valuation proxy ($bn)"/>
    <x:tableColumn id="6" name="YoY market-value growth"/>
    <x:tableColumn id="7" name="Revenue ($bn)"/>
    <x:tableColumn id="8" name="YoY revenue growth"/>
    <x:tableColumn id="9" name="Profit / earnings proxy ($bn)"/>
    <x:tableColumn id="10" name="YoY profit growth"/>
    <x:tableColumn id="11" name="Profit metric basis"/>
    <x:tableColumn id="12" name="Data completeness"/>
    <x:tableColumn id="13" name="Market-value source"/>
    <x:tableColumn id="14" name="Revenue source"/>
    <x:tableColumn id="15" name="Profit source"/>
    <x:tableColumn id="16" name="Chart bask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2dc06bc45c41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c95d78d85e43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5f34e164294e1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4" hidden="0" customWidth="1"/>
    <x:col min="10" max="10" width="23" hidden="0" customWidth="1"/>
    <x:col min="11" max="11" width="18" hidden="0" customWidth="1"/>
    <x:col min="12" max="12" width="20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2" customHeight="1">
      <x:c r="A1" s="4" t="str">
        <x:v>Dot-com Bubble vs AI Market Boom — Company Financial Comparison</x:v>
      </x:c>
    </x:row>
    <x:row r="3">
      <x:c r="A3" s="17" t="str">
        <x:v>Period definition</x:v>
      </x:c>
      <x:c r="D3" s="17" t="str">
        <x:v>Important interpretation</x:v>
      </x:c>
    </x:row>
    <x:row r="4">
      <x:c r="A4" s="65" t="str">
        <x:v>Dot-com analytical window</x:v>
      </x:c>
      <x:c r="B4" s="69" t="str">
        <x:v>1995–2002</x:v>
      </x:c>
      <x:c r="D4" s="74" t="str">
        <x:v>“Invested amount” has no consistent audited company-by-company historical measure. The workbook therefore uses year-end market capitalisation—or reported private valuation—as a valuation proxy. It is not cash invested. Product market share is also not comparable across chips, software, telecom, cloud and e-commerce, so the growth measure is year-over-year market-value growth.</x:v>
      </x:c>
    </x:row>
    <x:row r="5">
      <x:c r="A5" s="65" t="str">
        <x:v>AI market-boom start</x:v>
      </x:c>
      <x:c r="B5" s="69" t="str">
        <x:v>30 Nov 2022 (ChatGPT public launch)</x:v>
      </x:c>
    </x:row>
    <x:row r="6">
      <x:c r="A6" s="65" t="str">
        <x:v>AI market-boom end</x:v>
      </x:c>
      <x:c r="B6" s="69" t="str">
        <x:v>Not yet known — the cycle remains open</x:v>
      </x:c>
    </x:row>
    <x:row r="7">
      <x:c r="A7" s="65" t="str">
        <x:v>Completed-year AI dataset</x:v>
      </x:c>
      <x:c r="B7" s="69" t="str">
        <x:v>2022–2025</x:v>
      </x:c>
    </x:row>
    <x:row r="8">
      <x:c r="A8" s="65" t="str">
        <x:v>2026 treatment</x:v>
      </x:c>
      <x:c r="B8" s="69" t="str">
        <x:v>Excluded because the annual year is incomplete</x:v>
      </x:c>
    </x:row>
    <x:row r="10">
      <x:c r="A10" s="3" t="str">
        <x:v>Representative top 10 — Dot-com cycle</x:v>
      </x:c>
      <x:c r="H10" s="3" t="str">
        <x:v>Representative top 10 — AI cycle</x:v>
      </x:c>
    </x:row>
    <x:row r="11">
      <x:c r="A11" s="78" t="n">
        <x:v>1</x:v>
      </x:c>
      <x:c r="B11" t="str">
        <x:v>Cisco Systems</x:v>
      </x:c>
      <x:c r="H11" s="78" t="n">
        <x:v>1</x:v>
      </x:c>
      <x:c r="I11" t="str">
        <x:v>NVIDIA</x:v>
      </x:c>
    </x:row>
    <x:row r="12">
      <x:c r="A12" s="78" t="n">
        <x:v>2</x:v>
      </x:c>
      <x:c r="B12" t="str">
        <x:v>Microsoft</x:v>
      </x:c>
      <x:c r="H12" s="78" t="n">
        <x:v>2</x:v>
      </x:c>
      <x:c r="I12" t="str">
        <x:v>Microsoft</x:v>
      </x:c>
    </x:row>
    <x:row r="13">
      <x:c r="A13" s="78" t="n">
        <x:v>3</x:v>
      </x:c>
      <x:c r="B13" t="str">
        <x:v>Intel</x:v>
      </x:c>
      <x:c r="H13" s="78" t="n">
        <x:v>3</x:v>
      </x:c>
      <x:c r="I13" t="str">
        <x:v>Alphabet (Google)</x:v>
      </x:c>
    </x:row>
    <x:row r="14">
      <x:c r="A14" s="78" t="n">
        <x:v>4</x:v>
      </x:c>
      <x:c r="B14" t="str">
        <x:v>Oracle</x:v>
      </x:c>
      <x:c r="H14" s="78" t="n">
        <x:v>4</x:v>
      </x:c>
      <x:c r="I14" t="str">
        <x:v>Amazon</x:v>
      </x:c>
    </x:row>
    <x:row r="15">
      <x:c r="A15" s="78" t="n">
        <x:v>5</x:v>
      </x:c>
      <x:c r="B15" t="str">
        <x:v>Sun Microsystems</x:v>
      </x:c>
      <x:c r="H15" s="78" t="n">
        <x:v>5</x:v>
      </x:c>
      <x:c r="I15" t="str">
        <x:v>Meta Platforms</x:v>
      </x:c>
    </x:row>
    <x:row r="16">
      <x:c r="A16" s="78" t="n">
        <x:v>6</x:v>
      </x:c>
      <x:c r="B16" t="str">
        <x:v>AOL</x:v>
      </x:c>
      <x:c r="H16" s="78" t="n">
        <x:v>6</x:v>
      </x:c>
      <x:c r="I16" t="str">
        <x:v>OpenAI</x:v>
      </x:c>
    </x:row>
    <x:row r="17">
      <x:c r="A17" s="78" t="n">
        <x:v>7</x:v>
      </x:c>
      <x:c r="B17" t="str">
        <x:v>Yahoo</x:v>
      </x:c>
      <x:c r="H17" s="78" t="n">
        <x:v>7</x:v>
      </x:c>
      <x:c r="I17" t="str">
        <x:v>Anthropic</x:v>
      </x:c>
    </x:row>
    <x:row r="18">
      <x:c r="A18" s="78" t="n">
        <x:v>8</x:v>
      </x:c>
      <x:c r="B18" t="str">
        <x:v>Amazon</x:v>
      </x:c>
      <x:c r="H18" s="78" t="n">
        <x:v>8</x:v>
      </x:c>
      <x:c r="I18" t="str">
        <x:v>Oracle</x:v>
      </x:c>
    </x:row>
    <x:row r="19">
      <x:c r="A19" s="78" t="n">
        <x:v>9</x:v>
      </x:c>
      <x:c r="B19" t="str">
        <x:v>QUALCOMM</x:v>
      </x:c>
      <x:c r="H19" s="78" t="n">
        <x:v>9</x:v>
      </x:c>
      <x:c r="I19" t="str">
        <x:v>Broadcom</x:v>
      </x:c>
    </x:row>
    <x:row r="20">
      <x:c r="A20" s="78" t="n">
        <x:v>10</x:v>
      </x:c>
      <x:c r="B20" t="str">
        <x:v>WorldCom</x:v>
      </x:c>
      <x:c r="H20" s="78" t="n">
        <x:v>10</x:v>
      </x:c>
      <x:c r="I20" t="str">
        <x:v>TSMC</x:v>
      </x:c>
    </x:row>
    <x:row r="23">
      <x:c r="A23" s="17" t="str">
        <x:v>Dot-com core comparable basket — Cisco, Microsoft, Intel, Oracle and QUALCOMM</x:v>
      </x:c>
      <x:c r="I23" s="17" t="str">
        <x:v>AI public-company basket — eight listed companies</x:v>
      </x:c>
    </x:row>
    <x:row r="24" ht="34" customHeight="1">
      <x:c r="A24" s="82" t="str">
        <x:v>Year</x:v>
      </x:c>
      <x:c r="B24" s="82" t="str">
        <x:v>Total market value ($bn)</x:v>
      </x:c>
      <x:c r="C24" s="82" t="str">
        <x:v>Total revenue ($bn)</x:v>
      </x:c>
      <x:c r="D24" s="82" t="str">
        <x:v>Total profit proxy ($bn)</x:v>
      </x:c>
      <x:c r="E24" s="82" t="str">
        <x:v>Market-value index</x:v>
      </x:c>
      <x:c r="F24" s="82" t="str">
        <x:v>Revenue index</x:v>
      </x:c>
      <x:c r="G24" s="82" t="str">
        <x:v>Profit index</x:v>
      </x:c>
      <x:c r="I24" s="82" t="str">
        <x:v>Year</x:v>
      </x:c>
      <x:c r="J24" s="82" t="str">
        <x:v>Total market value ($bn)</x:v>
      </x:c>
      <x:c r="K24" s="82" t="str">
        <x:v>Total revenue ($bn)</x:v>
      </x:c>
      <x:c r="L24" s="82" t="str">
        <x:v>Total profit proxy ($bn)</x:v>
      </x:c>
      <x:c r="M24" s="82" t="str">
        <x:v>Market-value index</x:v>
      </x:c>
      <x:c r="N24" s="82" t="str">
        <x:v>Revenue index</x:v>
      </x:c>
      <x:c r="O24" s="82" t="str">
        <x:v>Profit index</x:v>
      </x:c>
    </x:row>
    <x:row r="25">
      <x:c r="A25" t="n">
        <x:v>1996</x:v>
      </x:c>
      <x:c r="B25" s="90" t="n">
        <x:f>SUMIFS(DotCom_Data!$E$4:$E$83,DotCom_Data!$A$4:$A$83,A25,DotCom_Data!$P$4:$P$83,"Core")</x:f>
        <x:v>278.73</x:v>
      </x:c>
      <x:c r="C25" s="90" t="n">
        <x:f>SUMIFS(DotCom_Data!$G$4:$G$83,DotCom_Data!$A$4:$A$83,A25,DotCom_Data!$P$4:$P$83,"Core")</x:f>
        <x:v>41.84</x:v>
      </x:c>
      <x:c r="D25" s="90" t="n">
        <x:f>SUMIFS(DotCom_Data!$I$4:$I$83,DotCom_Data!$A$4:$A$83,A25,DotCom_Data!$P$4:$P$83,"Core")</x:f>
        <x:v>14.33281</x:v>
      </x:c>
      <x:c r="E25" s="91" t="n">
        <x:f>B25/$B$25*100</x:f>
        <x:v>100</x:v>
      </x:c>
      <x:c r="F25" s="91" t="n">
        <x:f>C25/$C$25*100</x:f>
        <x:v>100</x:v>
      </x:c>
      <x:c r="G25" s="91" t="n">
        <x:f>D25/$D$25*100</x:f>
        <x:v>100</x:v>
      </x:c>
      <x:c r="I25" t="n">
        <x:v>2022</x:v>
      </x:c>
      <x:c r="J25" s="90" t="n">
        <x:f>SUMIFS(AI_Data!$E$4:$E$43,AI_Data!$A$4:$A$43,I25,AI_Data!$P$4:$P$43,"Core")</x:f>
        <x:v>5313.35</x:v>
      </x:c>
      <x:c r="K25" s="90" t="n">
        <x:f>SUMIFS(AI_Data!$G$4:$G$43,AI_Data!$A$4:$A$43,I25,AI_Data!$P$4:$P$43,"Core")</x:f>
        <x:v>1297.62</x:v>
      </x:c>
      <x:c r="L25" s="90" t="n">
        <x:f>SUMIFS(AI_Data!$I$4:$I$43,AI_Data!$A$4:$A$43,I25,AI_Data!$P$4:$P$43,"Core")</x:f>
        <x:v>244.54</x:v>
      </x:c>
      <x:c r="M25" s="91" t="n">
        <x:f>J25/$J$25*100</x:f>
        <x:v>100</x:v>
      </x:c>
      <x:c r="N25" s="91" t="n">
        <x:f>K25/$K$25*100</x:f>
        <x:v>100</x:v>
      </x:c>
      <x:c r="O25" s="91" t="n">
        <x:f>L25/$L$25*100</x:f>
        <x:v>100</x:v>
      </x:c>
    </x:row>
    <x:row r="26">
      <x:c r="A26" t="n">
        <x:v>1997</x:v>
      </x:c>
      <x:c r="B26" s="90" t="n">
        <x:f>SUMIFS(DotCom_Data!$E$4:$E$83,DotCom_Data!$A$4:$A$83,A26,DotCom_Data!$P$4:$P$83,"Core")</x:f>
        <x:v>353.18</x:v>
      </x:c>
      <x:c r="C26" s="90" t="n">
        <x:f>SUMIFS(DotCom_Data!$G$4:$G$83,DotCom_Data!$A$4:$A$83,A26,DotCom_Data!$P$4:$P$83,"Core")</x:f>
        <x:v>54.24</x:v>
      </x:c>
      <x:c r="D26" s="90" t="n">
        <x:f>SUMIFS(DotCom_Data!$I$4:$I$83,DotCom_Data!$A$4:$A$83,A26,DotCom_Data!$P$4:$P$83,"Core")</x:f>
        <x:v>19.72</x:v>
      </x:c>
      <x:c r="E26" s="91" t="n">
        <x:f>B26/$B$25*100</x:f>
        <x:v>126.71043662325548</x:v>
      </x:c>
      <x:c r="F26" s="91" t="n">
        <x:f>C26/$C$25*100</x:f>
        <x:v>129.63671128107075</x:v>
      </x:c>
      <x:c r="G26" s="91" t="n">
        <x:f>D26/$D$25*100</x:f>
        <x:v>137.5864188529674</x:v>
      </x:c>
      <x:c r="I26" t="n">
        <x:v>2023</x:v>
      </x:c>
      <x:c r="J26" s="90" t="n">
        <x:f>SUMIFS(AI_Data!$E$4:$E$43,AI_Data!$A$4:$A$43,I26,AI_Data!$P$4:$P$43,"Core")</x:f>
        <x:v>9542.82</x:v>
      </x:c>
      <x:c r="K26" s="90" t="n">
        <x:f>SUMIFS(AI_Data!$G$4:$G$43,AI_Data!$A$4:$A$43,I26,AI_Data!$P$4:$P$43,"Core")</x:f>
        <x:v>1463.46</x:v>
      </x:c>
      <x:c r="L26" s="90" t="n">
        <x:f>SUMIFS(AI_Data!$I$4:$I$43,AI_Data!$A$4:$A$43,I26,AI_Data!$P$4:$P$43,"Core")</x:f>
        <x:v>369.21000000000004</x:v>
      </x:c>
      <x:c r="M26" s="91" t="n">
        <x:f>J26/$J$25*100</x:f>
        <x:v>179.60081681048678</x:v>
      </x:c>
      <x:c r="N26" s="91" t="n">
        <x:f>K26/$K$25*100</x:f>
        <x:v>112.78032089517734</x:v>
      </x:c>
      <x:c r="O26" s="91" t="n">
        <x:f>L26/$L$25*100</x:f>
        <x:v>150.98143453013824</x:v>
      </x:c>
    </x:row>
    <x:row r="27">
      <x:c r="A27" t="n">
        <x:v>1998</x:v>
      </x:c>
      <x:c r="B27" s="90" t="n">
        <x:f>SUMIFS(DotCom_Data!$E$4:$E$83,DotCom_Data!$A$4:$A$83,A27,DotCom_Data!$P$4:$P$83,"Core")</x:f>
        <x:v>735.6600000000001</x:v>
      </x:c>
      <x:c r="C27" s="90" t="n">
        <x:f>SUMIFS(DotCom_Data!$G$4:$G$83,DotCom_Data!$A$4:$A$83,A27,DotCom_Data!$P$4:$P$83,"Core")</x:f>
        <x:v>64.88999999999999</x:v>
      </x:c>
      <x:c r="D27" s="90" t="n">
        <x:f>SUMIFS(DotCom_Data!$I$4:$I$83,DotCom_Data!$A$4:$A$83,A27,DotCom_Data!$P$4:$P$83,"Core")</x:f>
        <x:v>22.69</x:v>
      </x:c>
      <x:c r="E27" s="91" t="n">
        <x:f>B27/$B$25*100</x:f>
        <x:v>263.9328382305457</x:v>
      </x:c>
      <x:c r="F27" s="91" t="n">
        <x:f>C27/$C$25*100</x:f>
        <x:v>155.09082217973227</x:v>
      </x:c>
      <x:c r="G27" s="91" t="n">
        <x:f>D27/$D$25*100</x:f>
        <x:v>158.30810566804416</x:v>
      </x:c>
      <x:c r="I27" t="n">
        <x:v>2024</x:v>
      </x:c>
      <x:c r="J27" s="90" t="n">
        <x:f>SUMIFS(AI_Data!$E$4:$E$43,AI_Data!$A$4:$A$43,I27,AI_Data!$P$4:$P$43,"Core")</x:f>
        <x:v>15369.57</x:v>
      </x:c>
      <x:c r="K27" s="90" t="n">
        <x:f>SUMIFS(AI_Data!$G$4:$G$43,AI_Data!$A$4:$A$43,I27,AI_Data!$P$4:$P$43,"Core")</x:f>
        <x:v>1742.54</x:v>
      </x:c>
      <x:c r="L27" s="90" t="n">
        <x:f>SUMIFS(AI_Data!$I$4:$I$43,AI_Data!$A$4:$A$43,I27,AI_Data!$P$4:$P$43,"Core")</x:f>
        <x:v>537.88</x:v>
      </x:c>
      <x:c r="M27" s="91" t="n">
        <x:f>J27/$J$25*100</x:f>
        <x:v>289.2632708178456</x:v>
      </x:c>
      <x:c r="N27" s="91" t="n">
        <x:f>K27/$K$25*100</x:f>
        <x:v>134.28738767898153</x:v>
      </x:c>
      <x:c r="O27" s="91" t="n">
        <x:f>L27/$L$25*100</x:f>
        <x:v>219.95583544614377</x:v>
      </x:c>
    </x:row>
    <x:row r="28">
      <x:c r="A28" t="n">
        <x:v>1999</x:v>
      </x:c>
      <x:c r="B28" s="90" t="n">
        <x:f>SUMIFS(DotCom_Data!$E$4:$E$83,DotCom_Data!$A$4:$A$83,A28,DotCom_Data!$P$4:$P$83,"Core")</x:f>
        <x:v>1516.78</x:v>
      </x:c>
      <x:c r="C28" s="90" t="n">
        <x:f>SUMIFS(DotCom_Data!$G$4:$G$83,DotCom_Data!$A$4:$A$83,A28,DotCom_Data!$P$4:$P$83,"Core")</x:f>
        <x:v>80.45</x:v>
      </x:c>
      <x:c r="D28" s="90" t="n">
        <x:f>SUMIFS(DotCom_Data!$I$4:$I$83,DotCom_Data!$A$4:$A$83,A28,DotCom_Data!$P$4:$P$83,"Core")</x:f>
        <x:v>30.55</x:v>
      </x:c>
      <x:c r="E28" s="91" t="n">
        <x:f>B28/$B$25*100</x:f>
        <x:v>544.175366842464</x:v>
      </x:c>
      <x:c r="F28" s="91" t="n">
        <x:f>C28/$C$25*100</x:f>
        <x:v>192.28011472275335</x:v>
      </x:c>
      <x:c r="G28" s="91" t="n">
        <x:f>D28/$D$25*100</x:f>
        <x:v>213.14731723925732</x:v>
      </x:c>
      <x:c r="I28" t="n">
        <x:v>2025</x:v>
      </x:c>
      <x:c r="J28" s="90" t="n">
        <x:f>SUMIFS(AI_Data!$E$4:$E$43,AI_Data!$A$4:$A$43,I28,AI_Data!$P$4:$P$43,"Core")</x:f>
        <x:v>20028.85</x:v>
      </x:c>
      <x:c r="K28" s="90" t="n">
        <x:f>SUMIFS(AI_Data!$G$4:$G$43,AI_Data!$A$4:$A$43,I28,AI_Data!$P$4:$P$43,"Core")</x:f>
        <x:v>2093.3</x:v>
      </x:c>
      <x:c r="L28" s="90" t="n">
        <x:f>SUMIFS(AI_Data!$I$4:$I$43,AI_Data!$A$4:$A$43,I28,AI_Data!$P$4:$P$43,"Core")</x:f>
        <x:v>749.5900000000001</x:v>
      </x:c>
      <x:c r="M28" s="91" t="n">
        <x:f>J28/$J$25*100</x:f>
        <x:v>376.9533345252994</x:v>
      </x:c>
      <x:c r="N28" s="91" t="n">
        <x:f>K28/$K$25*100</x:f>
        <x:v>161.31841371125603</x:v>
      </x:c>
      <x:c r="O28" s="91" t="n">
        <x:f>L28/$L$25*100</x:f>
        <x:v>306.53062893596143</x:v>
      </x:c>
    </x:row>
    <x:row r="29">
      <x:c r="A29" t="n">
        <x:v>2000</x:v>
      </x:c>
      <x:c r="B29" s="90" t="n">
        <x:f>SUMIFS(DotCom_Data!$E$4:$E$83,DotCom_Data!$A$4:$A$83,A29,DotCom_Data!$P$4:$P$83,"Core")</x:f>
        <x:v>932.4000000000001</x:v>
      </x:c>
      <x:c r="C29" s="90" t="n">
        <x:f>SUMIFS(DotCom_Data!$G$4:$G$83,DotCom_Data!$A$4:$A$83,A29,DotCom_Data!$P$4:$P$83,"Core")</x:f>
        <x:v>94.9</x:v>
      </x:c>
      <x:c r="D29" s="90" t="n">
        <x:f>SUMIFS(DotCom_Data!$I$4:$I$83,DotCom_Data!$A$4:$A$83,A29,DotCom_Data!$P$4:$P$83,"Core")</x:f>
        <x:v>32.98797</x:v>
      </x:c>
      <x:c r="E29" s="91" t="n">
        <x:f>B29/$B$25*100</x:f>
        <x:v>334.51727478204714</x:v>
      </x:c>
      <x:c r="F29" s="91" t="n">
        <x:f>C29/$C$25*100</x:f>
        <x:v>226.81644359464624</x:v>
      </x:c>
      <x:c r="G29" s="91" t="n">
        <x:f>D29/$D$25*100</x:f>
        <x:v>230.15703131486424</x:v>
      </x:c>
    </x:row>
    <x:row r="30">
      <x:c r="A30" t="n">
        <x:v>2001</x:v>
      </x:c>
      <x:c r="B30" s="90" t="n">
        <x:f>SUMIFS(DotCom_Data!$E$4:$E$83,DotCom_Data!$A$4:$A$83,A30,DotCom_Data!$P$4:$P$83,"Core")</x:f>
        <x:v>815.93</x:v>
      </x:c>
      <x:c r="C30" s="90" t="n">
        <x:f>SUMIFS(DotCom_Data!$G$4:$G$83,DotCom_Data!$A$4:$A$83,A30,DotCom_Data!$P$4:$P$83,"Core")</x:f>
        <x:v>84.78999999999999</x:v>
      </x:c>
      <x:c r="D30" s="90" t="n">
        <x:f>SUMIFS(DotCom_Data!$I$4:$I$83,DotCom_Data!$A$4:$A$83,A30,DotCom_Data!$P$4:$P$83,"Core")</x:f>
        <x:v>13.450000000000001</x:v>
      </x:c>
      <x:c r="E30" s="91" t="n">
        <x:f>B30/$B$25*100</x:f>
        <x:v>292.73131704516913</x:v>
      </x:c>
      <x:c r="F30" s="91" t="n">
        <x:f>C30/$C$25*100</x:f>
        <x:v>202.65296367112805</x:v>
      </x:c>
      <x:c r="G30" s="91" t="n">
        <x:f>D30/$D$25*100</x:f>
        <x:v>93.84063557669432</x:v>
      </x:c>
    </x:row>
    <x:row r="31">
      <x:c r="A31" t="n">
        <x:v>2002</x:v>
      </x:c>
      <x:c r="B31" s="90" t="n">
        <x:f>SUMIFS(DotCom_Data!$E$4:$E$83,DotCom_Data!$A$4:$A$83,A31,DotCom_Data!$P$4:$P$83,"Core")</x:f>
        <x:v>559.75</x:v>
      </x:c>
      <x:c r="C31" s="90" t="n">
        <x:f>SUMIFS(DotCom_Data!$G$4:$G$83,DotCom_Data!$A$4:$A$83,A31,DotCom_Data!$P$4:$P$83,"Core")</x:f>
        <x:v>89.60000000000002</x:v>
      </x:c>
      <x:c r="D31" s="90" t="n">
        <x:f>SUMIFS(DotCom_Data!$I$4:$I$83,DotCom_Data!$A$4:$A$83,A31,DotCom_Data!$P$4:$P$83,"Core")</x:f>
        <x:v>24.55</x:v>
      </x:c>
      <x:c r="E31" s="91" t="n">
        <x:f>B31/$B$25*100</x:f>
        <x:v>200.82158361138016</x:v>
      </x:c>
      <x:c r="F31" s="91" t="n">
        <x:f>C31/$C$25*100</x:f>
        <x:v>214.14913957934996</x:v>
      </x:c>
      <x:c r="G31" s="91" t="n">
        <x:f>D31/$D$25*100</x:f>
        <x:v>171.28532367344576</x:v>
      </x:c>
    </x:row>
  </x:sheetData>
  <x:mergeCells>
    <x:mergeCell ref="A1:O1"/>
    <x:mergeCell ref="A3:B3"/>
    <x:mergeCell ref="D3:O3"/>
    <x:mergeCell ref="D4:O8"/>
    <x:mergeCell ref="A10:F10"/>
    <x:mergeCell ref="H10:O10"/>
    <x:mergeCell ref="A23:G23"/>
    <x:mergeCell ref="I23:O23"/>
  </x:mergeCells>
  <x:pageMargins left="0.7" right="0.7" top="0.75" bottom="0.75" header="0.3" footer="0.3"/>
  <x:drawing xmlns:r="http://schemas.openxmlformats.org/officeDocument/2006/relationships" r:id="R3b2dc06bc45c41da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6" hidden="0" customWidth="1"/>
    <x:col min="4" max="4" width="19" hidden="0" customWidth="1"/>
    <x:col min="5" max="5" width="21" hidden="0" customWidth="1"/>
    <x:col min="6" max="6" width="17" hidden="0" customWidth="1"/>
    <x:col min="7" max="7" width="14" hidden="0" customWidth="1"/>
    <x:col min="8" max="8" width="16" hidden="0" customWidth="1"/>
    <x:col min="9" max="9" width="19" hidden="0" customWidth="1"/>
    <x:col min="10" max="10" width="16" hidden="0" customWidth="1"/>
    <x:col min="11" max="11" width="21" hidden="0" customWidth="1"/>
    <x:col min="12" max="12" width="22" hidden="0" customWidth="1"/>
    <x:col min="13" max="13" width="36" hidden="0" customWidth="1"/>
    <x:col min="14" max="14" width="36" hidden="0" customWidth="1"/>
    <x:col min="15" max="15" width="36" hidden="0" customWidth="1"/>
    <x:col min="16" max="16" width="14" hidden="0" customWidth="1"/>
  </x:cols>
  <x:sheetData>
    <x:row r="1" ht="28" customHeight="1">
      <x:c r="A1" s="5" t="str">
        <x:v>Dot-com Bubble Company Dataset (1995–2002)</x:v>
      </x:c>
    </x:row>
    <x:row r="2" ht="34" customHeight="1">
      <x:c r="A2" s="12" t="str">
        <x:v>Year-end market capitalisation is used as a public-market valuation proxy—not cash invested. Revenue and profit proxies use annual figures where comparable data was available. Blank cells are intentional.</x:v>
      </x:c>
    </x:row>
    <x:row r="3" ht="34" customHeight="1">
      <x:c r="A3" s="20" t="str">
        <x:v>Year</x:v>
      </x:c>
      <x:c r="B3" s="20" t="str">
        <x:v>Company</x:v>
      </x:c>
      <x:c r="C3" s="20" t="str">
        <x:v>Ticker / status</x:v>
      </x:c>
      <x:c r="D3" s="20" t="str">
        <x:v>Listing status</x:v>
      </x:c>
      <x:c r="E3" s="20" t="str">
        <x:v>Market value / valuation proxy ($bn)</x:v>
      </x:c>
      <x:c r="F3" s="20" t="str">
        <x:v>YoY market-value growth</x:v>
      </x:c>
      <x:c r="G3" s="20" t="str">
        <x:v>Revenue ($bn)</x:v>
      </x:c>
      <x:c r="H3" s="20" t="str">
        <x:v>YoY revenue growth</x:v>
      </x:c>
      <x:c r="I3" s="20" t="str">
        <x:v>Profit / earnings proxy ($bn)</x:v>
      </x:c>
      <x:c r="J3" s="20" t="str">
        <x:v>YoY profit growth</x:v>
      </x:c>
      <x:c r="K3" s="20" t="str">
        <x:v>Profit metric basis</x:v>
      </x:c>
      <x:c r="L3" s="20" t="str">
        <x:v>Data completeness</x:v>
      </x:c>
      <x:c r="M3" s="20" t="str">
        <x:v>Market-value source</x:v>
      </x:c>
      <x:c r="N3" s="20" t="str">
        <x:v>Revenue source</x:v>
      </x:c>
      <x:c r="O3" s="20" t="str">
        <x:v>Profit source</x:v>
      </x:c>
      <x:c r="P3" s="46" t="str">
        <x:v>Chart basket</x:v>
      </x:c>
    </x:row>
    <x:row r="4">
      <x:c r="A4" s="40" t="n">
        <x:v>1995</x:v>
      </x:c>
      <x:c r="B4" s="26" t="str">
        <x:v>Cisco Systems</x:v>
      </x:c>
      <x:c r="C4" s="26" t="str">
        <x:v>CSCO</x:v>
      </x:c>
      <x:c r="D4" s="26" t="str">
        <x:v>Public</x:v>
      </x:c>
      <x:c r="E4" s="42"/>
      <x:c r="F4" s="43" t="str">
        <x:f>""</x:f>
      </x:c>
      <x:c r="G4" s="42"/>
      <x:c r="H4" s="43" t="str">
        <x:f>""</x:f>
      </x:c>
      <x:c r="I4" s="42"/>
      <x:c r="J4" s="43" t="str">
        <x:f>""</x:f>
      </x:c>
      <x:c r="K4" s="36" t="str">
        <x:v>Pretax income</x:v>
      </x:c>
      <x:c r="L4" s="36" t="str">
        <x:v>Unavailable / not comparable</x:v>
      </x:c>
      <x:c r="M4" s="37" t="str">
        <x:v>https://companiesmarketcap.com/cisco/marketcap/</x:v>
      </x:c>
      <x:c r="N4" s="37" t="str">
        <x:v>https://companiesmarketcap.com/cisco/revenue/</x:v>
      </x:c>
      <x:c r="O4" s="37" t="str">
        <x:v>https://companiesmarketcap.com/cisco/earnings/</x:v>
      </x:c>
      <x:c r="P4" s="47" t="str">
        <x:v>Core</x:v>
      </x:c>
    </x:row>
    <x:row r="5">
      <x:c r="A5" s="40" t="n">
        <x:v>1996</x:v>
      </x:c>
      <x:c r="B5" s="26" t="str">
        <x:v>Cisco Systems</x:v>
      </x:c>
      <x:c r="C5" s="26" t="str">
        <x:v>CSCO</x:v>
      </x:c>
      <x:c r="D5" s="26" t="str">
        <x:v>Public</x:v>
      </x:c>
      <x:c r="E5" s="42" t="n">
        <x:v>41.71</x:v>
      </x:c>
      <x:c r="F5" s="43" t="str">
        <x:f>IF(B5=B4,IFERROR(E5/E4-1,""),"")</x:f>
      </x:c>
      <x:c r="G5" s="42" t="n">
        <x:v>5.68</x:v>
      </x:c>
      <x:c r="H5" s="43" t="str">
        <x:f>IF(B5=B4,IFERROR(G5/G4-1,""),"")</x:f>
      </x:c>
      <x:c r="I5" s="42" t="n">
        <x:v>1.66</x:v>
      </x:c>
      <x:c r="J5" s="43" t="str">
        <x:f>IF(B5=B4,IFERROR(I5/I4-1,""),"")</x:f>
      </x:c>
      <x:c r="K5" s="36" t="str">
        <x:v>Pretax income</x:v>
      </x:c>
      <x:c r="L5" s="36" t="str">
        <x:v>Complete public proxy set</x:v>
      </x:c>
      <x:c r="M5" s="37" t="str">
        <x:v>https://companiesmarketcap.com/cisco/marketcap/</x:v>
      </x:c>
      <x:c r="N5" s="37" t="str">
        <x:v>https://companiesmarketcap.com/cisco/revenue/</x:v>
      </x:c>
      <x:c r="O5" s="37" t="str">
        <x:v>https://companiesmarketcap.com/cisco/earnings/</x:v>
      </x:c>
      <x:c r="P5" s="47" t="str">
        <x:v>Core</x:v>
      </x:c>
    </x:row>
    <x:row r="6">
      <x:c r="A6" s="40" t="n">
        <x:v>1997</x:v>
      </x:c>
      <x:c r="B6" s="26" t="str">
        <x:v>Cisco Systems</x:v>
      </x:c>
      <x:c r="C6" s="26" t="str">
        <x:v>CSCO</x:v>
      </x:c>
      <x:c r="D6" s="26" t="str">
        <x:v>Public</x:v>
      </x:c>
      <x:c r="E6" s="42" t="n">
        <x:v>56.03</x:v>
      </x:c>
      <x:c r="F6" s="43" t="n">
        <x:f>IF(B6=B5,IFERROR(E6/E5-1,""),"")</x:f>
        <x:v>0.3433229441380963</x:v>
      </x:c>
      <x:c r="G6" s="42" t="n">
        <x:v>7.29</x:v>
      </x:c>
      <x:c r="H6" s="43" t="n">
        <x:f>IF(B6=B5,IFERROR(G6/G5-1,""),"")</x:f>
        <x:v>0.28345070422535223</x:v>
      </x:c>
      <x:c r="I6" s="42" t="n">
        <x:v>1.96</x:v>
      </x:c>
      <x:c r="J6" s="43" t="n">
        <x:f>IF(B6=B5,IFERROR(I6/I5-1,""),"")</x:f>
        <x:v>0.1807228915662651</x:v>
      </x:c>
      <x:c r="K6" s="36" t="str">
        <x:v>Pretax income</x:v>
      </x:c>
      <x:c r="L6" s="36" t="str">
        <x:v>Complete public proxy set</x:v>
      </x:c>
      <x:c r="M6" s="37" t="str">
        <x:v>https://companiesmarketcap.com/cisco/marketcap/</x:v>
      </x:c>
      <x:c r="N6" s="37" t="str">
        <x:v>https://companiesmarketcap.com/cisco/revenue/</x:v>
      </x:c>
      <x:c r="O6" s="37" t="str">
        <x:v>https://companiesmarketcap.com/cisco/earnings/</x:v>
      </x:c>
      <x:c r="P6" s="47" t="str">
        <x:v>Core</x:v>
      </x:c>
    </x:row>
    <x:row r="7">
      <x:c r="A7" s="40" t="n">
        <x:v>1998</x:v>
      </x:c>
      <x:c r="B7" s="26" t="str">
        <x:v>Cisco Systems</x:v>
      </x:c>
      <x:c r="C7" s="26" t="str">
        <x:v>CSCO</x:v>
      </x:c>
      <x:c r="D7" s="26" t="str">
        <x:v>Public</x:v>
      </x:c>
      <x:c r="E7" s="42" t="n">
        <x:v>145.99</x:v>
      </x:c>
      <x:c r="F7" s="43" t="n">
        <x:f>IF(B7=B6,IFERROR(E7/E6-1,""),"")</x:f>
        <x:v>1.605568445475638</x:v>
      </x:c>
      <x:c r="G7" s="42" t="n">
        <x:v>10.01</x:v>
      </x:c>
      <x:c r="H7" s="43" t="n">
        <x:f>IF(B7=B6,IFERROR(G7/G6-1,""),"")</x:f>
        <x:v>0.3731138545953361</x:v>
      </x:c>
      <x:c r="I7" s="42" t="n">
        <x:v>2.15</x:v>
      </x:c>
      <x:c r="J7" s="43" t="n">
        <x:f>IF(B7=B6,IFERROR(I7/I6-1,""),"")</x:f>
        <x:v>0.09693877551020402</x:v>
      </x:c>
      <x:c r="K7" s="36" t="str">
        <x:v>Pretax income</x:v>
      </x:c>
      <x:c r="L7" s="36" t="str">
        <x:v>Complete public proxy set</x:v>
      </x:c>
      <x:c r="M7" s="37" t="str">
        <x:v>https://companiesmarketcap.com/cisco/marketcap/</x:v>
      </x:c>
      <x:c r="N7" s="37" t="str">
        <x:v>https://companiesmarketcap.com/cisco/revenue/</x:v>
      </x:c>
      <x:c r="O7" s="37" t="str">
        <x:v>https://companiesmarketcap.com/cisco/earnings/</x:v>
      </x:c>
      <x:c r="P7" s="47" t="str">
        <x:v>Core</x:v>
      </x:c>
    </x:row>
    <x:row r="8">
      <x:c r="A8" s="40" t="n">
        <x:v>1999</x:v>
      </x:c>
      <x:c r="B8" s="26" t="str">
        <x:v>Cisco Systems</x:v>
      </x:c>
      <x:c r="C8" s="26" t="str">
        <x:v>CSCO</x:v>
      </x:c>
      <x:c r="D8" s="26" t="str">
        <x:v>Public</x:v>
      </x:c>
      <x:c r="E8" s="42" t="n">
        <x:v>355.12</x:v>
      </x:c>
      <x:c r="F8" s="43" t="n">
        <x:f>IF(B8=B7,IFERROR(E8/E7-1,""),"")</x:f>
        <x:v>1.4324953763956434</x:v>
      </x:c>
      <x:c r="G8" s="42" t="n">
        <x:v>15.03</x:v>
      </x:c>
      <x:c r="H8" s="43" t="n">
        <x:f>IF(B8=B7,IFERROR(G8/G7-1,""),"")</x:f>
        <x:v>0.5014985014985014</x:v>
      </x:c>
      <x:c r="I8" s="42" t="n">
        <x:v>3.46</x:v>
      </x:c>
      <x:c r="J8" s="43" t="n">
        <x:f>IF(B8=B7,IFERROR(I8/I7-1,""),"")</x:f>
        <x:v>0.6093023255813954</x:v>
      </x:c>
      <x:c r="K8" s="36" t="str">
        <x:v>Pretax income</x:v>
      </x:c>
      <x:c r="L8" s="36" t="str">
        <x:v>Complete public proxy set</x:v>
      </x:c>
      <x:c r="M8" s="37" t="str">
        <x:v>https://companiesmarketcap.com/cisco/marketcap/</x:v>
      </x:c>
      <x:c r="N8" s="37" t="str">
        <x:v>https://companiesmarketcap.com/cisco/revenue/</x:v>
      </x:c>
      <x:c r="O8" s="37" t="str">
        <x:v>https://companiesmarketcap.com/cisco/earnings/</x:v>
      </x:c>
      <x:c r="P8" s="47" t="str">
        <x:v>Core</x:v>
      </x:c>
    </x:row>
    <x:row r="9">
      <x:c r="A9" s="40" t="n">
        <x:v>2000</x:v>
      </x:c>
      <x:c r="B9" s="26" t="str">
        <x:v>Cisco Systems</x:v>
      </x:c>
      <x:c r="C9" s="26" t="str">
        <x:v>CSCO</x:v>
      </x:c>
      <x:c r="D9" s="26" t="str">
        <x:v>Public</x:v>
      </x:c>
      <x:c r="E9" s="42" t="n">
        <x:v>275.29</x:v>
      </x:c>
      <x:c r="F9" s="43" t="n">
        <x:f>IF(B9=B8,IFERROR(E9/E8-1,""),"")</x:f>
        <x:v>-0.2247972516332507</x:v>
      </x:c>
      <x:c r="G9" s="42" t="n">
        <x:v>23.94</x:v>
      </x:c>
      <x:c r="H9" s="43" t="n">
        <x:f>IF(B9=B8,IFERROR(G9/G8-1,""),"")</x:f>
        <x:v>0.5928143712574852</x:v>
      </x:c>
      <x:c r="I9" s="42" t="n">
        <x:v>3.41</x:v>
      </x:c>
      <x:c r="J9" s="43" t="n">
        <x:f>IF(B9=B8,IFERROR(I9/I8-1,""),"")</x:f>
        <x:v>-0.014450867052023031</x:v>
      </x:c>
      <x:c r="K9" s="36" t="str">
        <x:v>Pretax income</x:v>
      </x:c>
      <x:c r="L9" s="36" t="str">
        <x:v>Complete public proxy set</x:v>
      </x:c>
      <x:c r="M9" s="37" t="str">
        <x:v>https://companiesmarketcap.com/cisco/marketcap/</x:v>
      </x:c>
      <x:c r="N9" s="37" t="str">
        <x:v>https://companiesmarketcap.com/cisco/revenue/</x:v>
      </x:c>
      <x:c r="O9" s="37" t="str">
        <x:v>https://companiesmarketcap.com/cisco/earnings/</x:v>
      </x:c>
      <x:c r="P9" s="47" t="str">
        <x:v>Core</x:v>
      </x:c>
    </x:row>
    <x:row r="10">
      <x:c r="A10" s="40" t="n">
        <x:v>2001</x:v>
      </x:c>
      <x:c r="B10" s="26" t="str">
        <x:v>Cisco Systems</x:v>
      </x:c>
      <x:c r="C10" s="26" t="str">
        <x:v>CSCO</x:v>
      </x:c>
      <x:c r="D10" s="26" t="str">
        <x:v>Public</x:v>
      </x:c>
      <x:c r="E10" s="42" t="n">
        <x:v>132.83</x:v>
      </x:c>
      <x:c r="F10" s="43" t="n">
        <x:f>IF(B10=B9,IFERROR(E10/E9-1,""),"")</x:f>
        <x:v>-0.5174906462276145</x:v>
      </x:c>
      <x:c r="G10" s="42" t="n">
        <x:v>18.29</x:v>
      </x:c>
      <x:c r="H10" s="43" t="n">
        <x:f>IF(B10=B9,IFERROR(G10/G9-1,""),"")</x:f>
        <x:v>-0.23600668337510455</x:v>
      </x:c>
      <x:c r="I10" s="42" t="n">
        <x:v>-1.67</x:v>
      </x:c>
      <x:c r="J10" s="43" t="n">
        <x:f>IF(B10=B9,IFERROR(I10/I9-1,""),"")</x:f>
        <x:v>-1.4897360703812317</x:v>
      </x:c>
      <x:c r="K10" s="36" t="str">
        <x:v>Pretax income</x:v>
      </x:c>
      <x:c r="L10" s="36" t="str">
        <x:v>Complete public proxy set</x:v>
      </x:c>
      <x:c r="M10" s="37" t="str">
        <x:v>https://companiesmarketcap.com/cisco/marketcap/</x:v>
      </x:c>
      <x:c r="N10" s="37" t="str">
        <x:v>https://companiesmarketcap.com/cisco/revenue/</x:v>
      </x:c>
      <x:c r="O10" s="37" t="str">
        <x:v>https://companiesmarketcap.com/cisco/earnings/</x:v>
      </x:c>
      <x:c r="P10" s="47" t="str">
        <x:v>Core</x:v>
      </x:c>
    </x:row>
    <x:row r="11">
      <x:c r="A11" s="40" t="n">
        <x:v>2002</x:v>
      </x:c>
      <x:c r="B11" s="26" t="str">
        <x:v>Cisco Systems</x:v>
      </x:c>
      <x:c r="C11" s="26" t="str">
        <x:v>CSCO</x:v>
      </x:c>
      <x:c r="D11" s="26" t="str">
        <x:v>Public</x:v>
      </x:c>
      <x:c r="E11" s="42" t="n">
        <x:v>95.15</x:v>
      </x:c>
      <x:c r="F11" s="43" t="n">
        <x:f>IF(B11=B10,IFERROR(E11/E10-1,""),"")</x:f>
        <x:v>-0.2836708574870135</x:v>
      </x:c>
      <x:c r="G11" s="42" t="n">
        <x:v>19.2</x:v>
      </x:c>
      <x:c r="H11" s="43" t="n">
        <x:f>IF(B11=B10,IFERROR(G11/G10-1,""),"")</x:f>
        <x:v>0.049753963914707544</x:v>
      </x:c>
      <x:c r="I11" s="42" t="n">
        <x:v>4.25</x:v>
      </x:c>
      <x:c r="J11" s="43" t="n">
        <x:f>IF(B11=B10,IFERROR(I11/I10-1,""),"")</x:f>
        <x:v>-3.5449101796407185</x:v>
      </x:c>
      <x:c r="K11" s="36" t="str">
        <x:v>Pretax income</x:v>
      </x:c>
      <x:c r="L11" s="36" t="str">
        <x:v>Complete public proxy set</x:v>
      </x:c>
      <x:c r="M11" s="37" t="str">
        <x:v>https://companiesmarketcap.com/cisco/marketcap/</x:v>
      </x:c>
      <x:c r="N11" s="37" t="str">
        <x:v>https://companiesmarketcap.com/cisco/revenue/</x:v>
      </x:c>
      <x:c r="O11" s="37" t="str">
        <x:v>https://companiesmarketcap.com/cisco/earnings/</x:v>
      </x:c>
      <x:c r="P11" s="47" t="str">
        <x:v>Core</x:v>
      </x:c>
    </x:row>
    <x:row r="12">
      <x:c r="A12" s="40" t="n">
        <x:v>1995</x:v>
      </x:c>
      <x:c r="B12" s="26" t="str">
        <x:v>Microsoft</x:v>
      </x:c>
      <x:c r="C12" s="26" t="str">
        <x:v>MSFT</x:v>
      </x:c>
      <x:c r="D12" s="26" t="str">
        <x:v>Public</x:v>
      </x:c>
      <x:c r="E12" s="42"/>
      <x:c r="F12" s="43" t="str">
        <x:f>IF(B12=B11,IFERROR(E12/E11-1,""),"")</x:f>
      </x:c>
      <x:c r="G12" s="42"/>
      <x:c r="H12" s="43" t="str">
        <x:f>IF(B12=B11,IFERROR(G12/G11-1,""),"")</x:f>
      </x:c>
      <x:c r="I12" s="42"/>
      <x:c r="J12" s="43" t="str">
        <x:f>IF(B12=B11,IFERROR(I12/I11-1,""),"")</x:f>
      </x:c>
      <x:c r="K12" s="36" t="str">
        <x:v>EBIT</x:v>
      </x:c>
      <x:c r="L12" s="36" t="str">
        <x:v>Unavailable / not comparable</x:v>
      </x:c>
      <x:c r="M12" s="37" t="str">
        <x:v>https://companiesmarketcap.com/microsoft/marketcap/</x:v>
      </x:c>
      <x:c r="N12" s="37" t="str">
        <x:v>https://companiesmarketcap.com/microsoft/revenue/</x:v>
      </x:c>
      <x:c r="O12" s="37" t="str">
        <x:v>https://companiesmarketcap.com/microsoft/earnings/</x:v>
      </x:c>
      <x:c r="P12" s="47" t="str">
        <x:v>Core</x:v>
      </x:c>
    </x:row>
    <x:row r="13">
      <x:c r="A13" s="40" t="n">
        <x:v>1996</x:v>
      </x:c>
      <x:c r="B13" s="26" t="str">
        <x:v>Microsoft</x:v>
      </x:c>
      <x:c r="C13" s="26" t="str">
        <x:v>MSFT</x:v>
      </x:c>
      <x:c r="D13" s="26" t="str">
        <x:v>Public</x:v>
      </x:c>
      <x:c r="E13" s="42" t="n">
        <x:v>99.41</x:v>
      </x:c>
      <x:c r="F13" s="43" t="str">
        <x:f>IF(B13=B12,IFERROR(E13/E12-1,""),"")</x:f>
      </x:c>
      <x:c r="G13" s="42" t="n">
        <x:v>9.43</x:v>
      </x:c>
      <x:c r="H13" s="43" t="str">
        <x:f>IF(B13=B12,IFERROR(G13/G12-1,""),"")</x:f>
      </x:c>
      <x:c r="I13" s="42" t="n">
        <x:v>3.8</x:v>
      </x:c>
      <x:c r="J13" s="43" t="str">
        <x:f>IF(B13=B12,IFERROR(I13/I12-1,""),"")</x:f>
      </x:c>
      <x:c r="K13" s="36" t="str">
        <x:v>EBIT</x:v>
      </x:c>
      <x:c r="L13" s="36" t="str">
        <x:v>Complete public proxy set</x:v>
      </x:c>
      <x:c r="M13" s="37" t="str">
        <x:v>https://companiesmarketcap.com/microsoft/marketcap/</x:v>
      </x:c>
      <x:c r="N13" s="37" t="str">
        <x:v>https://companiesmarketcap.com/microsoft/revenue/</x:v>
      </x:c>
      <x:c r="O13" s="37" t="str">
        <x:v>https://companiesmarketcap.com/microsoft/earnings/</x:v>
      </x:c>
      <x:c r="P13" s="47" t="str">
        <x:v>Core</x:v>
      </x:c>
    </x:row>
    <x:row r="14">
      <x:c r="A14" s="40" t="n">
        <x:v>1997</x:v>
      </x:c>
      <x:c r="B14" s="26" t="str">
        <x:v>Microsoft</x:v>
      </x:c>
      <x:c r="C14" s="26" t="str">
        <x:v>MSFT</x:v>
      </x:c>
      <x:c r="D14" s="26" t="str">
        <x:v>Public</x:v>
      </x:c>
      <x:c r="E14" s="42" t="n">
        <x:v>157.36</x:v>
      </x:c>
      <x:c r="F14" s="43" t="n">
        <x:f>IF(B14=B13,IFERROR(E14/E13-1,""),"")</x:f>
        <x:v>0.5829393421184994</x:v>
      </x:c>
      <x:c r="G14" s="42" t="n">
        <x:v>13.09</x:v>
      </x:c>
      <x:c r="H14" s="43" t="n">
        <x:f>IF(B14=B13,IFERROR(G14/G13-1,""),"")</x:f>
        <x:v>0.38812301166489926</x:v>
      </x:c>
      <x:c r="I14" s="42" t="n">
        <x:v>6.2</x:v>
      </x:c>
      <x:c r="J14" s="43" t="n">
        <x:f>IF(B14=B13,IFERROR(I14/I13-1,""),"")</x:f>
        <x:v>0.6315789473684212</x:v>
      </x:c>
      <x:c r="K14" s="36" t="str">
        <x:v>EBIT</x:v>
      </x:c>
      <x:c r="L14" s="36" t="str">
        <x:v>Complete public proxy set</x:v>
      </x:c>
      <x:c r="M14" s="37" t="str">
        <x:v>https://companiesmarketcap.com/microsoft/marketcap/</x:v>
      </x:c>
      <x:c r="N14" s="37" t="str">
        <x:v>https://companiesmarketcap.com/microsoft/revenue/</x:v>
      </x:c>
      <x:c r="O14" s="37" t="str">
        <x:v>https://companiesmarketcap.com/microsoft/earnings/</x:v>
      </x:c>
      <x:c r="P14" s="47" t="str">
        <x:v>Core</x:v>
      </x:c>
    </x:row>
    <x:row r="15">
      <x:c r="A15" s="40" t="n">
        <x:v>1998</x:v>
      </x:c>
      <x:c r="B15" s="26" t="str">
        <x:v>Microsoft</x:v>
      </x:c>
      <x:c r="C15" s="26" t="str">
        <x:v>MSFT</x:v>
      </x:c>
      <x:c r="D15" s="26" t="str">
        <x:v>Public</x:v>
      </x:c>
      <x:c r="E15" s="42" t="n">
        <x:v>348.1</x:v>
      </x:c>
      <x:c r="F15" s="43" t="n">
        <x:f>IF(B15=B14,IFERROR(E15/E14-1,""),"")</x:f>
        <x:v>1.2121250635485512</x:v>
      </x:c>
      <x:c r="G15" s="42" t="n">
        <x:v>17.15</x:v>
      </x:c>
      <x:c r="H15" s="43" t="n">
        <x:f>IF(B15=B14,IFERROR(G15/G14-1,""),"")</x:f>
        <x:v>0.31016042780748654</x:v>
      </x:c>
      <x:c r="I15" s="42" t="n">
        <x:v>9.69</x:v>
      </x:c>
      <x:c r="J15" s="43" t="n">
        <x:f>IF(B15=B14,IFERROR(I15/I14-1,""),"")</x:f>
        <x:v>0.5629032258064515</x:v>
      </x:c>
      <x:c r="K15" s="36" t="str">
        <x:v>EBIT</x:v>
      </x:c>
      <x:c r="L15" s="36" t="str">
        <x:v>Complete public proxy set</x:v>
      </x:c>
      <x:c r="M15" s="37" t="str">
        <x:v>https://companiesmarketcap.com/microsoft/marketcap/</x:v>
      </x:c>
      <x:c r="N15" s="37" t="str">
        <x:v>https://companiesmarketcap.com/microsoft/revenue/</x:v>
      </x:c>
      <x:c r="O15" s="37" t="str">
        <x:v>https://companiesmarketcap.com/microsoft/earnings/</x:v>
      </x:c>
      <x:c r="P15" s="47" t="str">
        <x:v>Core</x:v>
      </x:c>
    </x:row>
    <x:row r="16">
      <x:c r="A16" s="40" t="n">
        <x:v>1999</x:v>
      </x:c>
      <x:c r="B16" s="26" t="str">
        <x:v>Microsoft</x:v>
      </x:c>
      <x:c r="C16" s="26" t="str">
        <x:v>MSFT</x:v>
      </x:c>
      <x:c r="D16" s="26" t="str">
        <x:v>Public</x:v>
      </x:c>
      <x:c r="E16" s="42" t="n">
        <x:v>604.41</x:v>
      </x:c>
      <x:c r="F16" s="43" t="n">
        <x:f>IF(B16=B15,IFERROR(E16/E15-1,""),"")</x:f>
        <x:v>0.7363114047687445</x:v>
      </x:c>
      <x:c r="G16" s="42" t="n">
        <x:v>22.61</x:v>
      </x:c>
      <x:c r="H16" s="43" t="n">
        <x:f>IF(B16=B15,IFERROR(G16/G15-1,""),"")</x:f>
        <x:v>0.31836734693877555</x:v>
      </x:c>
      <x:c r="I16" s="42" t="n">
        <x:v>13.34</x:v>
      </x:c>
      <x:c r="J16" s="43" t="n">
        <x:f>IF(B16=B15,IFERROR(I16/I15-1,""),"")</x:f>
        <x:v>0.3766769865841073</x:v>
      </x:c>
      <x:c r="K16" s="36" t="str">
        <x:v>EBIT</x:v>
      </x:c>
      <x:c r="L16" s="36" t="str">
        <x:v>Complete public proxy set</x:v>
      </x:c>
      <x:c r="M16" s="37" t="str">
        <x:v>https://companiesmarketcap.com/microsoft/marketcap/</x:v>
      </x:c>
      <x:c r="N16" s="37" t="str">
        <x:v>https://companiesmarketcap.com/microsoft/revenue/</x:v>
      </x:c>
      <x:c r="O16" s="37" t="str">
        <x:v>https://companiesmarketcap.com/microsoft/earnings/</x:v>
      </x:c>
      <x:c r="P16" s="47" t="str">
        <x:v>Core</x:v>
      </x:c>
    </x:row>
    <x:row r="17">
      <x:c r="A17" s="40" t="n">
        <x:v>2000</x:v>
      </x:c>
      <x:c r="B17" s="26" t="str">
        <x:v>Microsoft</x:v>
      </x:c>
      <x:c r="C17" s="26" t="str">
        <x:v>MSFT</x:v>
      </x:c>
      <x:c r="D17" s="26" t="str">
        <x:v>Public</x:v>
      </x:c>
      <x:c r="E17" s="42" t="n">
        <x:v>230.8</x:v>
      </x:c>
      <x:c r="F17" s="43" t="n">
        <x:f>IF(B17=B16,IFERROR(E17/E16-1,""),"")</x:f>
        <x:v>-0.6181400043017157</x:v>
      </x:c>
      <x:c r="G17" s="42" t="n">
        <x:v>23.77</x:v>
      </x:c>
      <x:c r="H17" s="43" t="n">
        <x:f>IF(B17=B16,IFERROR(G17/G16-1,""),"")</x:f>
        <x:v>0.05130473241928346</x:v>
      </x:c>
      <x:c r="I17" s="42" t="n">
        <x:v>15.03</x:v>
      </x:c>
      <x:c r="J17" s="43" t="n">
        <x:f>IF(B17=B16,IFERROR(I17/I16-1,""),"")</x:f>
        <x:v>0.12668665667166423</x:v>
      </x:c>
      <x:c r="K17" s="36" t="str">
        <x:v>EBIT</x:v>
      </x:c>
      <x:c r="L17" s="36" t="str">
        <x:v>Complete public proxy set</x:v>
      </x:c>
      <x:c r="M17" s="37" t="str">
        <x:v>https://companiesmarketcap.com/microsoft/marketcap/</x:v>
      </x:c>
      <x:c r="N17" s="37" t="str">
        <x:v>https://companiesmarketcap.com/microsoft/revenue/</x:v>
      </x:c>
      <x:c r="O17" s="37" t="str">
        <x:v>https://companiesmarketcap.com/microsoft/earnings/</x:v>
      </x:c>
      <x:c r="P17" s="47" t="str">
        <x:v>Core</x:v>
      </x:c>
    </x:row>
    <x:row r="18">
      <x:c r="A18" s="40" t="n">
        <x:v>2001</x:v>
      </x:c>
      <x:c r="B18" s="26" t="str">
        <x:v>Microsoft</x:v>
      </x:c>
      <x:c r="C18" s="26" t="str">
        <x:v>MSFT</x:v>
      </x:c>
      <x:c r="D18" s="26" t="str">
        <x:v>Public</x:v>
      </x:c>
      <x:c r="E18" s="42" t="n">
        <x:v>358.05</x:v>
      </x:c>
      <x:c r="F18" s="43" t="n">
        <x:f>IF(B18=B17,IFERROR(E18/E17-1,""),"")</x:f>
        <x:v>0.5513431542461005</x:v>
      </x:c>
      <x:c r="G18" s="42" t="n">
        <x:v>26.72</x:v>
      </x:c>
      <x:c r="H18" s="43" t="n">
        <x:f>IF(B18=B17,IFERROR(G18/G17-1,""),"")</x:f>
        <x:v>0.1241060159865377</x:v>
      </x:c>
      <x:c r="I18" s="42" t="n">
        <x:v>9</x:v>
      </x:c>
      <x:c r="J18" s="43" t="n">
        <x:f>IF(B18=B17,IFERROR(I18/I17-1,""),"")</x:f>
        <x:v>-0.4011976047904191</x:v>
      </x:c>
      <x:c r="K18" s="36" t="str">
        <x:v>EBIT</x:v>
      </x:c>
      <x:c r="L18" s="36" t="str">
        <x:v>Complete public proxy set</x:v>
      </x:c>
      <x:c r="M18" s="37" t="str">
        <x:v>https://companiesmarketcap.com/microsoft/marketcap/</x:v>
      </x:c>
      <x:c r="N18" s="37" t="str">
        <x:v>https://companiesmarketcap.com/microsoft/revenue/</x:v>
      </x:c>
      <x:c r="O18" s="37" t="str">
        <x:v>https://companiesmarketcap.com/microsoft/earnings/</x:v>
      </x:c>
      <x:c r="P18" s="47" t="str">
        <x:v>Core</x:v>
      </x:c>
    </x:row>
    <x:row r="19">
      <x:c r="A19" s="40" t="n">
        <x:v>2002</x:v>
      </x:c>
      <x:c r="B19" s="26" t="str">
        <x:v>Microsoft</x:v>
      </x:c>
      <x:c r="C19" s="26" t="str">
        <x:v>MSFT</x:v>
      </x:c>
      <x:c r="D19" s="26" t="str">
        <x:v>Public</x:v>
      </x:c>
      <x:c r="E19" s="42" t="n">
        <x:v>276.63</x:v>
      </x:c>
      <x:c r="F19" s="43" t="n">
        <x:f>IF(B19=B18,IFERROR(E19/E18-1,""),"")</x:f>
        <x:v>-0.22739840804356937</x:v>
      </x:c>
      <x:c r="G19" s="42" t="n">
        <x:v>30.78</x:v>
      </x:c>
      <x:c r="H19" s="43" t="n">
        <x:f>IF(B19=B18,IFERROR(G19/G18-1,""),"")</x:f>
        <x:v>0.1519461077844313</x:v>
      </x:c>
      <x:c r="I19" s="42" t="n">
        <x:v>11.91</x:v>
      </x:c>
      <x:c r="J19" s="43" t="n">
        <x:f>IF(B19=B18,IFERROR(I19/I18-1,""),"")</x:f>
        <x:v>0.32333333333333325</x:v>
      </x:c>
      <x:c r="K19" s="36" t="str">
        <x:v>EBIT</x:v>
      </x:c>
      <x:c r="L19" s="36" t="str">
        <x:v>Complete public proxy set</x:v>
      </x:c>
      <x:c r="M19" s="37" t="str">
        <x:v>https://companiesmarketcap.com/microsoft/marketcap/</x:v>
      </x:c>
      <x:c r="N19" s="37" t="str">
        <x:v>https://companiesmarketcap.com/microsoft/revenue/</x:v>
      </x:c>
      <x:c r="O19" s="37" t="str">
        <x:v>https://companiesmarketcap.com/microsoft/earnings/</x:v>
      </x:c>
      <x:c r="P19" s="47" t="str">
        <x:v>Core</x:v>
      </x:c>
    </x:row>
    <x:row r="20">
      <x:c r="A20" s="40" t="n">
        <x:v>1995</x:v>
      </x:c>
      <x:c r="B20" s="26" t="str">
        <x:v>Intel</x:v>
      </x:c>
      <x:c r="C20" s="26" t="str">
        <x:v>INTC</x:v>
      </x:c>
      <x:c r="D20" s="26" t="str">
        <x:v>Public</x:v>
      </x:c>
      <x:c r="E20" s="42"/>
      <x:c r="F20" s="43" t="str">
        <x:f>IF(B20=B19,IFERROR(E20/E19-1,""),"")</x:f>
      </x:c>
      <x:c r="G20" s="42"/>
      <x:c r="H20" s="43" t="str">
        <x:f>IF(B20=B19,IFERROR(G20/G19-1,""),"")</x:f>
      </x:c>
      <x:c r="I20" s="42"/>
      <x:c r="J20" s="43" t="str">
        <x:f>IF(B20=B19,IFERROR(I20/I19-1,""),"")</x:f>
      </x:c>
      <x:c r="K20" s="36" t="str">
        <x:v>Pretax income</x:v>
      </x:c>
      <x:c r="L20" s="36" t="str">
        <x:v>Unavailable / not comparable</x:v>
      </x:c>
      <x:c r="M20" s="37" t="str">
        <x:v>https://companiesmarketcap.com/intel/marketcap/</x:v>
      </x:c>
      <x:c r="N20" s="37" t="str">
        <x:v>https://companiesmarketcap.com/intel/revenue/</x:v>
      </x:c>
      <x:c r="O20" s="37" t="str">
        <x:v>https://companiesmarketcap.com/intel/earnings/</x:v>
      </x:c>
      <x:c r="P20" s="47" t="str">
        <x:v>Core</x:v>
      </x:c>
    </x:row>
    <x:row r="21">
      <x:c r="A21" s="40" t="n">
        <x:v>1996</x:v>
      </x:c>
      <x:c r="B21" s="26" t="str">
        <x:v>Intel</x:v>
      </x:c>
      <x:c r="C21" s="26" t="str">
        <x:v>INTC</x:v>
      </x:c>
      <x:c r="D21" s="26" t="str">
        <x:v>Public</x:v>
      </x:c>
      <x:c r="E21" s="42" t="n">
        <x:v>107.5</x:v>
      </x:c>
      <x:c r="F21" s="43" t="str">
        <x:f>IF(B21=B20,IFERROR(E21/E20-1,""),"")</x:f>
      </x:c>
      <x:c r="G21" s="42" t="n">
        <x:v>20.84</x:v>
      </x:c>
      <x:c r="H21" s="43" t="str">
        <x:f>IF(B21=B20,IFERROR(G21/G20-1,""),"")</x:f>
      </x:c>
      <x:c r="I21" s="42" t="n">
        <x:v>7.55</x:v>
      </x:c>
      <x:c r="J21" s="43" t="str">
        <x:f>IF(B21=B20,IFERROR(I21/I20-1,""),"")</x:f>
      </x:c>
      <x:c r="K21" s="36" t="str">
        <x:v>Pretax income</x:v>
      </x:c>
      <x:c r="L21" s="36" t="str">
        <x:v>Complete public proxy set</x:v>
      </x:c>
      <x:c r="M21" s="37" t="str">
        <x:v>https://companiesmarketcap.com/intel/marketcap/</x:v>
      </x:c>
      <x:c r="N21" s="37" t="str">
        <x:v>https://companiesmarketcap.com/intel/revenue/</x:v>
      </x:c>
      <x:c r="O21" s="37" t="str">
        <x:v>https://companiesmarketcap.com/intel/earnings/</x:v>
      </x:c>
      <x:c r="P21" s="47" t="str">
        <x:v>Core</x:v>
      </x:c>
    </x:row>
    <x:row r="22">
      <x:c r="A22" s="40" t="n">
        <x:v>1997</x:v>
      </x:c>
      <x:c r="B22" s="26" t="str">
        <x:v>Intel</x:v>
      </x:c>
      <x:c r="C22" s="26" t="str">
        <x:v>INTC</x:v>
      </x:c>
      <x:c r="D22" s="26" t="str">
        <x:v>Public</x:v>
      </x:c>
      <x:c r="E22" s="42" t="n">
        <x:v>114.37</x:v>
      </x:c>
      <x:c r="F22" s="43" t="n">
        <x:f>IF(B22=B21,IFERROR(E22/E21-1,""),"")</x:f>
        <x:v>0.063906976744186</x:v>
      </x:c>
      <x:c r="G22" s="42" t="n">
        <x:v>25.07</x:v>
      </x:c>
      <x:c r="H22" s="43" t="n">
        <x:f>IF(B22=B21,IFERROR(G22/G21-1,""),"")</x:f>
        <x:v>0.20297504798464483</x:v>
      </x:c>
      <x:c r="I22" s="42" t="n">
        <x:v>9.88</x:v>
      </x:c>
      <x:c r="J22" s="43" t="n">
        <x:f>IF(B22=B21,IFERROR(I22/I21-1,""),"")</x:f>
        <x:v>0.30860927152317896</x:v>
      </x:c>
      <x:c r="K22" s="36" t="str">
        <x:v>Pretax income</x:v>
      </x:c>
      <x:c r="L22" s="36" t="str">
        <x:v>Complete public proxy set</x:v>
      </x:c>
      <x:c r="M22" s="37" t="str">
        <x:v>https://companiesmarketcap.com/intel/marketcap/</x:v>
      </x:c>
      <x:c r="N22" s="37" t="str">
        <x:v>https://companiesmarketcap.com/intel/revenue/</x:v>
      </x:c>
      <x:c r="O22" s="37" t="str">
        <x:v>https://companiesmarketcap.com/intel/earnings/</x:v>
      </x:c>
      <x:c r="P22" s="47" t="str">
        <x:v>Core</x:v>
      </x:c>
    </x:row>
    <x:row r="23">
      <x:c r="A23" s="40" t="n">
        <x:v>1998</x:v>
      </x:c>
      <x:c r="B23" s="26" t="str">
        <x:v>Intel</x:v>
      </x:c>
      <x:c r="C23" s="26" t="str">
        <x:v>INTC</x:v>
      </x:c>
      <x:c r="D23" s="26" t="str">
        <x:v>Public</x:v>
      </x:c>
      <x:c r="E23" s="42" t="n">
        <x:v>196.51</x:v>
      </x:c>
      <x:c r="F23" s="43" t="n">
        <x:f>IF(B23=B22,IFERROR(E23/E22-1,""),"")</x:f>
        <x:v>0.718195330943429</x:v>
      </x:c>
      <x:c r="G23" s="42" t="n">
        <x:v>26.27</x:v>
      </x:c>
      <x:c r="H23" s="43" t="n">
        <x:f>IF(B23=B22,IFERROR(G23/G22-1,""),"")</x:f>
        <x:v>0.047865975269246075</x:v>
      </x:c>
      <x:c r="I23" s="42" t="n">
        <x:v>8.54</x:v>
      </x:c>
      <x:c r="J23" s="43" t="n">
        <x:f>IF(B23=B22,IFERROR(I23/I22-1,""),"")</x:f>
        <x:v>-0.13562753036437258</x:v>
      </x:c>
      <x:c r="K23" s="36" t="str">
        <x:v>Pretax income</x:v>
      </x:c>
      <x:c r="L23" s="36" t="str">
        <x:v>Complete public proxy set</x:v>
      </x:c>
      <x:c r="M23" s="37" t="str">
        <x:v>https://companiesmarketcap.com/intel/marketcap/</x:v>
      </x:c>
      <x:c r="N23" s="37" t="str">
        <x:v>https://companiesmarketcap.com/intel/revenue/</x:v>
      </x:c>
      <x:c r="O23" s="37" t="str">
        <x:v>https://companiesmarketcap.com/intel/earnings/</x:v>
      </x:c>
      <x:c r="P23" s="47" t="str">
        <x:v>Core</x:v>
      </x:c>
    </x:row>
    <x:row r="24">
      <x:c r="A24" s="40" t="n">
        <x:v>1999</x:v>
      </x:c>
      <x:c r="B24" s="26" t="str">
        <x:v>Intel</x:v>
      </x:c>
      <x:c r="C24" s="26" t="str">
        <x:v>INTC</x:v>
      </x:c>
      <x:c r="D24" s="26" t="str">
        <x:v>Public</x:v>
      </x:c>
      <x:c r="E24" s="42" t="n">
        <x:v>274.43</x:v>
      </x:c>
      <x:c r="F24" s="43" t="n">
        <x:f>IF(B24=B23,IFERROR(E24/E23-1,""),"")</x:f>
        <x:v>0.3965192611063051</x:v>
      </x:c>
      <x:c r="G24" s="42" t="n">
        <x:v>29.38</x:v>
      </x:c>
      <x:c r="H24" s="43" t="n">
        <x:f>IF(B24=B23,IFERROR(G24/G23-1,""),"")</x:f>
        <x:v>0.11838599162542818</x:v>
      </x:c>
      <x:c r="I24" s="42" t="n">
        <x:v>10.15</x:v>
      </x:c>
      <x:c r="J24" s="43" t="n">
        <x:f>IF(B24=B23,IFERROR(I24/I23-1,""),"")</x:f>
        <x:v>0.18852459016393452</x:v>
      </x:c>
      <x:c r="K24" s="36" t="str">
        <x:v>Pretax income</x:v>
      </x:c>
      <x:c r="L24" s="36" t="str">
        <x:v>Complete public proxy set</x:v>
      </x:c>
      <x:c r="M24" s="37" t="str">
        <x:v>https://companiesmarketcap.com/intel/marketcap/</x:v>
      </x:c>
      <x:c r="N24" s="37" t="str">
        <x:v>https://companiesmarketcap.com/intel/revenue/</x:v>
      </x:c>
      <x:c r="O24" s="37" t="str">
        <x:v>https://companiesmarketcap.com/intel/earnings/</x:v>
      </x:c>
      <x:c r="P24" s="47" t="str">
        <x:v>Core</x:v>
      </x:c>
    </x:row>
    <x:row r="25">
      <x:c r="A25" s="40" t="n">
        <x:v>2000</x:v>
      </x:c>
      <x:c r="B25" s="26" t="str">
        <x:v>Intel</x:v>
      </x:c>
      <x:c r="C25" s="26" t="str">
        <x:v>INTC</x:v>
      </x:c>
      <x:c r="D25" s="26" t="str">
        <x:v>Public</x:v>
      </x:c>
      <x:c r="E25" s="42" t="n">
        <x:v>202.05</x:v>
      </x:c>
      <x:c r="F25" s="43" t="n">
        <x:f>IF(B25=B24,IFERROR(E25/E24-1,""),"")</x:f>
        <x:v>-0.2637466749262106</x:v>
      </x:c>
      <x:c r="G25" s="42" t="n">
        <x:v>33.72</x:v>
      </x:c>
      <x:c r="H25" s="43" t="n">
        <x:f>IF(B25=B24,IFERROR(G25/G24-1,""),"")</x:f>
        <x:v>0.14771953710006813</x:v>
      </x:c>
      <x:c r="I25" s="42" t="n">
        <x:v>10.5</x:v>
      </x:c>
      <x:c r="J25" s="43" t="n">
        <x:f>IF(B25=B24,IFERROR(I25/I24-1,""),"")</x:f>
        <x:v>0.034482758620689724</x:v>
      </x:c>
      <x:c r="K25" s="36" t="str">
        <x:v>Pretax income</x:v>
      </x:c>
      <x:c r="L25" s="36" t="str">
        <x:v>Complete public proxy set</x:v>
      </x:c>
      <x:c r="M25" s="37" t="str">
        <x:v>https://companiesmarketcap.com/intel/marketcap/</x:v>
      </x:c>
      <x:c r="N25" s="37" t="str">
        <x:v>https://companiesmarketcap.com/intel/revenue/</x:v>
      </x:c>
      <x:c r="O25" s="37" t="str">
        <x:v>https://companiesmarketcap.com/intel/earnings/</x:v>
      </x:c>
      <x:c r="P25" s="47" t="str">
        <x:v>Core</x:v>
      </x:c>
    </x:row>
    <x:row r="26">
      <x:c r="A26" s="40" t="n">
        <x:v>2001</x:v>
      </x:c>
      <x:c r="B26" s="26" t="str">
        <x:v>Intel</x:v>
      </x:c>
      <x:c r="C26" s="26" t="str">
        <x:v>INTC</x:v>
      </x:c>
      <x:c r="D26" s="26" t="str">
        <x:v>Public</x:v>
      </x:c>
      <x:c r="E26" s="42" t="n">
        <x:v>210.4</x:v>
      </x:c>
      <x:c r="F26" s="43" t="n">
        <x:f>IF(B26=B25,IFERROR(E26/E25-1,""),"")</x:f>
        <x:v>0.041326404355357615</x:v>
      </x:c>
      <x:c r="G26" s="42" t="n">
        <x:v>26.53</x:v>
      </x:c>
      <x:c r="H26" s="43" t="n">
        <x:f>IF(B26=B25,IFERROR(G26/G25-1,""),"")</x:f>
        <x:v>-0.21322657176749693</x:v>
      </x:c>
      <x:c r="I26" s="42" t="n">
        <x:v>2.45</x:v>
      </x:c>
      <x:c r="J26" s="43" t="n">
        <x:f>IF(B26=B25,IFERROR(I26/I25-1,""),"")</x:f>
        <x:v>-0.7666666666666666</x:v>
      </x:c>
      <x:c r="K26" s="36" t="str">
        <x:v>Pretax income</x:v>
      </x:c>
      <x:c r="L26" s="36" t="str">
        <x:v>Complete public proxy set</x:v>
      </x:c>
      <x:c r="M26" s="37" t="str">
        <x:v>https://companiesmarketcap.com/intel/marketcap/</x:v>
      </x:c>
      <x:c r="N26" s="37" t="str">
        <x:v>https://companiesmarketcap.com/intel/revenue/</x:v>
      </x:c>
      <x:c r="O26" s="37" t="str">
        <x:v>https://companiesmarketcap.com/intel/earnings/</x:v>
      </x:c>
      <x:c r="P26" s="47" t="str">
        <x:v>Core</x:v>
      </x:c>
    </x:row>
    <x:row r="27">
      <x:c r="A27" s="40" t="n">
        <x:v>2002</x:v>
      </x:c>
      <x:c r="B27" s="26" t="str">
        <x:v>Intel</x:v>
      </x:c>
      <x:c r="C27" s="26" t="str">
        <x:v>INTC</x:v>
      </x:c>
      <x:c r="D27" s="26" t="str">
        <x:v>Public</x:v>
      </x:c>
      <x:c r="E27" s="42" t="n">
        <x:v>102.37</x:v>
      </x:c>
      <x:c r="F27" s="43" t="n">
        <x:f>IF(B27=B26,IFERROR(E27/E26-1,""),"")</x:f>
        <x:v>-0.5134505703422053</x:v>
      </x:c>
      <x:c r="G27" s="42" t="n">
        <x:v>26.76</x:v>
      </x:c>
      <x:c r="H27" s="43" t="n">
        <x:f>IF(B27=B26,IFERROR(G27/G26-1,""),"")</x:f>
        <x:v>0.008669430833019298</x:v>
      </x:c>
      <x:c r="I27" s="42" t="n">
        <x:v>4.4</x:v>
      </x:c>
      <x:c r="J27" s="43" t="n">
        <x:f>IF(B27=B26,IFERROR(I27/I26-1,""),"")</x:f>
        <x:v>0.7959183673469388</x:v>
      </x:c>
      <x:c r="K27" s="36" t="str">
        <x:v>Pretax income</x:v>
      </x:c>
      <x:c r="L27" s="36" t="str">
        <x:v>Complete public proxy set</x:v>
      </x:c>
      <x:c r="M27" s="37" t="str">
        <x:v>https://companiesmarketcap.com/intel/marketcap/</x:v>
      </x:c>
      <x:c r="N27" s="37" t="str">
        <x:v>https://companiesmarketcap.com/intel/revenue/</x:v>
      </x:c>
      <x:c r="O27" s="37" t="str">
        <x:v>https://companiesmarketcap.com/intel/earnings/</x:v>
      </x:c>
      <x:c r="P27" s="47" t="str">
        <x:v>Core</x:v>
      </x:c>
    </x:row>
    <x:row r="28">
      <x:c r="A28" s="40" t="n">
        <x:v>1995</x:v>
      </x:c>
      <x:c r="B28" s="26" t="str">
        <x:v>Oracle</x:v>
      </x:c>
      <x:c r="C28" s="26" t="str">
        <x:v>ORCL</x:v>
      </x:c>
      <x:c r="D28" s="26" t="str">
        <x:v>Public</x:v>
      </x:c>
      <x:c r="E28" s="42"/>
      <x:c r="F28" s="43" t="str">
        <x:f>IF(B28=B27,IFERROR(E28/E27-1,""),"")</x:f>
      </x:c>
      <x:c r="G28" s="42"/>
      <x:c r="H28" s="43" t="str">
        <x:f>IF(B28=B27,IFERROR(G28/G27-1,""),"")</x:f>
      </x:c>
      <x:c r="I28" s="42"/>
      <x:c r="J28" s="43" t="str">
        <x:f>IF(B28=B27,IFERROR(I28/I27-1,""),"")</x:f>
      </x:c>
      <x:c r="K28" s="36" t="str">
        <x:v>Pretax income</x:v>
      </x:c>
      <x:c r="L28" s="36" t="str">
        <x:v>Unavailable / not comparable</x:v>
      </x:c>
      <x:c r="M28" s="37" t="str">
        <x:v>https://companiesmarketcap.com/oracle/marketcap/</x:v>
      </x:c>
      <x:c r="N28" s="37" t="str">
        <x:v>https://companiesmarketcap.com/oracle/revenue/</x:v>
      </x:c>
      <x:c r="O28" s="37" t="str">
        <x:v>https://companiesmarketcap.com/oracle/earnings/</x:v>
      </x:c>
      <x:c r="P28" s="47" t="str">
        <x:v>Core</x:v>
      </x:c>
    </x:row>
    <x:row r="29">
      <x:c r="A29" s="40" t="n">
        <x:v>1996</x:v>
      </x:c>
      <x:c r="B29" s="26" t="str">
        <x:v>Oracle</x:v>
      </x:c>
      <x:c r="C29" s="26" t="str">
        <x:v>ORCL</x:v>
      </x:c>
      <x:c r="D29" s="26" t="str">
        <x:v>Public</x:v>
      </x:c>
      <x:c r="E29" s="42" t="n">
        <x:v>27.44</x:v>
      </x:c>
      <x:c r="F29" s="43" t="str">
        <x:f>IF(B29=B28,IFERROR(E29/E28-1,""),"")</x:f>
      </x:c>
      <x:c r="G29" s="42" t="n">
        <x:v>4.84</x:v>
      </x:c>
      <x:c r="H29" s="43" t="str">
        <x:f>IF(B29=B28,IFERROR(G29/G28-1,""),"")</x:f>
      </x:c>
      <x:c r="I29" s="42" t="n">
        <x:v>1.32</x:v>
      </x:c>
      <x:c r="J29" s="43" t="str">
        <x:f>IF(B29=B28,IFERROR(I29/I28-1,""),"")</x:f>
      </x:c>
      <x:c r="K29" s="36" t="str">
        <x:v>Pretax income</x:v>
      </x:c>
      <x:c r="L29" s="36" t="str">
        <x:v>Complete public proxy set</x:v>
      </x:c>
      <x:c r="M29" s="37" t="str">
        <x:v>https://companiesmarketcap.com/oracle/marketcap/</x:v>
      </x:c>
      <x:c r="N29" s="37" t="str">
        <x:v>https://companiesmarketcap.com/oracle/revenue/</x:v>
      </x:c>
      <x:c r="O29" s="37" t="str">
        <x:v>https://companiesmarketcap.com/oracle/earnings/</x:v>
      </x:c>
      <x:c r="P29" s="47" t="str">
        <x:v>Core</x:v>
      </x:c>
    </x:row>
    <x:row r="30">
      <x:c r="A30" s="40" t="n">
        <x:v>1997</x:v>
      </x:c>
      <x:c r="B30" s="26" t="str">
        <x:v>Oracle</x:v>
      </x:c>
      <x:c r="C30" s="26" t="str">
        <x:v>ORCL</x:v>
      </x:c>
      <x:c r="D30" s="26" t="str">
        <x:v>Public</x:v>
      </x:c>
      <x:c r="E30" s="42" t="n">
        <x:v>21.94</x:v>
      </x:c>
      <x:c r="F30" s="43" t="n">
        <x:f>IF(B30=B29,IFERROR(E30/E29-1,""),"")</x:f>
        <x:v>-0.20043731778425655</x:v>
      </x:c>
      <x:c r="G30" s="42" t="n">
        <x:v>6.3</x:v>
      </x:c>
      <x:c r="H30" s="43" t="n">
        <x:f>IF(B30=B29,IFERROR(G30/G29-1,""),"")</x:f>
        <x:v>0.30165289256198347</x:v>
      </x:c>
      <x:c r="I30" s="42" t="n">
        <x:v>1.55</x:v>
      </x:c>
      <x:c r="J30" s="43" t="n">
        <x:f>IF(B30=B29,IFERROR(I30/I29-1,""),"")</x:f>
        <x:v>0.1742424242424243</x:v>
      </x:c>
      <x:c r="K30" s="36" t="str">
        <x:v>Pretax income</x:v>
      </x:c>
      <x:c r="L30" s="36" t="str">
        <x:v>Complete public proxy set</x:v>
      </x:c>
      <x:c r="M30" s="37" t="str">
        <x:v>https://companiesmarketcap.com/oracle/marketcap/</x:v>
      </x:c>
      <x:c r="N30" s="37" t="str">
        <x:v>https://companiesmarketcap.com/oracle/revenue/</x:v>
      </x:c>
      <x:c r="O30" s="37" t="str">
        <x:v>https://companiesmarketcap.com/oracle/earnings/</x:v>
      </x:c>
      <x:c r="P30" s="47" t="str">
        <x:v>Core</x:v>
      </x:c>
    </x:row>
    <x:row r="31">
      <x:c r="A31" s="40" t="n">
        <x:v>1998</x:v>
      </x:c>
      <x:c r="B31" s="26" t="str">
        <x:v>Oracle</x:v>
      </x:c>
      <x:c r="C31" s="26" t="str">
        <x:v>ORCL</x:v>
      </x:c>
      <x:c r="D31" s="26" t="str">
        <x:v>Public</x:v>
      </x:c>
      <x:c r="E31" s="42" t="n">
        <x:v>41.36</x:v>
      </x:c>
      <x:c r="F31" s="43" t="n">
        <x:f>IF(B31=B30,IFERROR(E31/E30-1,""),"")</x:f>
        <x:v>0.8851412944393799</x:v>
      </x:c>
      <x:c r="G31" s="42" t="n">
        <x:v>7.96</x:v>
      </x:c>
      <x:c r="H31" s="43" t="n">
        <x:f>IF(B31=B30,IFERROR(G31/G30-1,""),"")</x:f>
        <x:v>0.26349206349206344</x:v>
      </x:c>
      <x:c r="I31" s="42" t="n">
        <x:v>2.05</x:v>
      </x:c>
      <x:c r="J31" s="43" t="n">
        <x:f>IF(B31=B30,IFERROR(I31/I30-1,""),"")</x:f>
        <x:v>0.32258064516129026</x:v>
      </x:c>
      <x:c r="K31" s="36" t="str">
        <x:v>Pretax income</x:v>
      </x:c>
      <x:c r="L31" s="36" t="str">
        <x:v>Complete public proxy set</x:v>
      </x:c>
      <x:c r="M31" s="37" t="str">
        <x:v>https://companiesmarketcap.com/oracle/marketcap/</x:v>
      </x:c>
      <x:c r="N31" s="37" t="str">
        <x:v>https://companiesmarketcap.com/oracle/revenue/</x:v>
      </x:c>
      <x:c r="O31" s="37" t="str">
        <x:v>https://companiesmarketcap.com/oracle/earnings/</x:v>
      </x:c>
      <x:c r="P31" s="47" t="str">
        <x:v>Core</x:v>
      </x:c>
    </x:row>
    <x:row r="32">
      <x:c r="A32" s="40" t="n">
        <x:v>1999</x:v>
      </x:c>
      <x:c r="B32" s="26" t="str">
        <x:v>Oracle</x:v>
      </x:c>
      <x:c r="C32" s="26" t="str">
        <x:v>ORCL</x:v>
      </x:c>
      <x:c r="D32" s="26" t="str">
        <x:v>Public</x:v>
      </x:c>
      <x:c r="E32" s="42" t="n">
        <x:v>158.09</x:v>
      </x:c>
      <x:c r="F32" s="43" t="n">
        <x:f>IF(B32=B31,IFERROR(E32/E31-1,""),"")</x:f>
        <x:v>2.8222920696324953</x:v>
      </x:c>
      <x:c r="G32" s="42" t="n">
        <x:v>9.32</x:v>
      </x:c>
      <x:c r="H32" s="43" t="n">
        <x:f>IF(B32=B31,IFERROR(G32/G31-1,""),"")</x:f>
        <x:v>0.170854271356784</x:v>
      </x:c>
      <x:c r="I32" s="42" t="n">
        <x:v>3.02</x:v>
      </x:c>
      <x:c r="J32" s="43" t="n">
        <x:f>IF(B32=B31,IFERROR(I32/I31-1,""),"")</x:f>
        <x:v>0.47317073170731727</x:v>
      </x:c>
      <x:c r="K32" s="36" t="str">
        <x:v>Pretax income</x:v>
      </x:c>
      <x:c r="L32" s="36" t="str">
        <x:v>Complete public proxy set</x:v>
      </x:c>
      <x:c r="M32" s="37" t="str">
        <x:v>https://companiesmarketcap.com/oracle/marketcap/</x:v>
      </x:c>
      <x:c r="N32" s="37" t="str">
        <x:v>https://companiesmarketcap.com/oracle/revenue/</x:v>
      </x:c>
      <x:c r="O32" s="37" t="str">
        <x:v>https://companiesmarketcap.com/oracle/earnings/</x:v>
      </x:c>
      <x:c r="P32" s="47" t="str">
        <x:v>Core</x:v>
      </x:c>
    </x:row>
    <x:row r="33">
      <x:c r="A33" s="40" t="n">
        <x:v>2000</x:v>
      </x:c>
      <x:c r="B33" s="26" t="str">
        <x:v>Oracle</x:v>
      </x:c>
      <x:c r="C33" s="26" t="str">
        <x:v>ORCL</x:v>
      </x:c>
      <x:c r="D33" s="26" t="str">
        <x:v>Public</x:v>
      </x:c>
      <x:c r="E33" s="42" t="n">
        <x:v>162.34</x:v>
      </x:c>
      <x:c r="F33" s="43" t="n">
        <x:f>IF(B33=B32,IFERROR(E33/E32-1,""),"")</x:f>
        <x:v>0.02688342083623252</x:v>
      </x:c>
      <x:c r="G33" s="42" t="n">
        <x:v>10.74</x:v>
      </x:c>
      <x:c r="H33" s="43" t="n">
        <x:f>IF(B33=B32,IFERROR(G33/G32-1,""),"")</x:f>
        <x:v>0.1523605150214593</x:v>
      </x:c>
      <x:c r="I33" s="42" t="n">
        <x:v>3.95</x:v>
      </x:c>
      <x:c r="J33" s="43" t="n">
        <x:f>IF(B33=B32,IFERROR(I33/I32-1,""),"")</x:f>
        <x:v>0.3079470198675498</x:v>
      </x:c>
      <x:c r="K33" s="36" t="str">
        <x:v>Pretax income</x:v>
      </x:c>
      <x:c r="L33" s="36" t="str">
        <x:v>Complete public proxy set</x:v>
      </x:c>
      <x:c r="M33" s="37" t="str">
        <x:v>https://companiesmarketcap.com/oracle/marketcap/</x:v>
      </x:c>
      <x:c r="N33" s="37" t="str">
        <x:v>https://companiesmarketcap.com/oracle/revenue/</x:v>
      </x:c>
      <x:c r="O33" s="37" t="str">
        <x:v>https://companiesmarketcap.com/oracle/earnings/</x:v>
      </x:c>
      <x:c r="P33" s="47" t="str">
        <x:v>Core</x:v>
      </x:c>
    </x:row>
    <x:row r="34">
      <x:c r="A34" s="40" t="n">
        <x:v>2001</x:v>
      </x:c>
      <x:c r="B34" s="26" t="str">
        <x:v>Oracle</x:v>
      </x:c>
      <x:c r="C34" s="26" t="str">
        <x:v>ORCL</x:v>
      </x:c>
      <x:c r="D34" s="26" t="str">
        <x:v>Public</x:v>
      </x:c>
      <x:c r="E34" s="42" t="n">
        <x:v>75.91</x:v>
      </x:c>
      <x:c r="F34" s="43" t="n">
        <x:f>IF(B34=B33,IFERROR(E34/E33-1,""),"")</x:f>
        <x:v>-0.5324011334236787</x:v>
      </x:c>
      <x:c r="G34" s="42" t="n">
        <x:v>10.56</x:v>
      </x:c>
      <x:c r="H34" s="43" t="n">
        <x:f>IF(B34=B33,IFERROR(G34/G33-1,""),"")</x:f>
        <x:v>-0.016759776536312776</x:v>
      </x:c>
      <x:c r="I34" s="42" t="n">
        <x:v>3.09</x:v>
      </x:c>
      <x:c r="J34" s="43" t="n">
        <x:f>IF(B34=B33,IFERROR(I34/I33-1,""),"")</x:f>
        <x:v>-0.21772151898734182</x:v>
      </x:c>
      <x:c r="K34" s="36" t="str">
        <x:v>Pretax income</x:v>
      </x:c>
      <x:c r="L34" s="36" t="str">
        <x:v>Complete public proxy set</x:v>
      </x:c>
      <x:c r="M34" s="37" t="str">
        <x:v>https://companiesmarketcap.com/oracle/marketcap/</x:v>
      </x:c>
      <x:c r="N34" s="37" t="str">
        <x:v>https://companiesmarketcap.com/oracle/revenue/</x:v>
      </x:c>
      <x:c r="O34" s="37" t="str">
        <x:v>https://companiesmarketcap.com/oracle/earnings/</x:v>
      </x:c>
      <x:c r="P34" s="47" t="str">
        <x:v>Core</x:v>
      </x:c>
    </x:row>
    <x:row r="35">
      <x:c r="A35" s="40" t="n">
        <x:v>2002</x:v>
      </x:c>
      <x:c r="B35" s="26" t="str">
        <x:v>Oracle</x:v>
      </x:c>
      <x:c r="C35" s="26" t="str">
        <x:v>ORCL</x:v>
      </x:c>
      <x:c r="D35" s="26" t="str">
        <x:v>Public</x:v>
      </x:c>
      <x:c r="E35" s="42" t="n">
        <x:v>56.9</x:v>
      </x:c>
      <x:c r="F35" s="43" t="n">
        <x:f>IF(B35=B34,IFERROR(E35/E34-1,""),"")</x:f>
        <x:v>-0.25042813858516666</x:v>
      </x:c>
      <x:c r="G35" s="42" t="n">
        <x:v>9.43</x:v>
      </x:c>
      <x:c r="H35" s="43" t="n">
        <x:f>IF(B35=B34,IFERROR(G35/G34-1,""),"")</x:f>
        <x:v>-0.1070075757575758</x:v>
      </x:c>
      <x:c r="I35" s="42" t="n">
        <x:v>3.06</x:v>
      </x:c>
      <x:c r="J35" s="43" t="n">
        <x:f>IF(B35=B34,IFERROR(I35/I34-1,""),"")</x:f>
        <x:v>-0.009708737864077555</x:v>
      </x:c>
      <x:c r="K35" s="36" t="str">
        <x:v>Pretax income</x:v>
      </x:c>
      <x:c r="L35" s="36" t="str">
        <x:v>Complete public proxy set</x:v>
      </x:c>
      <x:c r="M35" s="37" t="str">
        <x:v>https://companiesmarketcap.com/oracle/marketcap/</x:v>
      </x:c>
      <x:c r="N35" s="37" t="str">
        <x:v>https://companiesmarketcap.com/oracle/revenue/</x:v>
      </x:c>
      <x:c r="O35" s="37" t="str">
        <x:v>https://companiesmarketcap.com/oracle/earnings/</x:v>
      </x:c>
      <x:c r="P35" s="47" t="str">
        <x:v>Core</x:v>
      </x:c>
    </x:row>
    <x:row r="36">
      <x:c r="A36" s="40" t="n">
        <x:v>1995</x:v>
      </x:c>
      <x:c r="B36" s="26" t="str">
        <x:v>Sun Microsystems</x:v>
      </x:c>
      <x:c r="C36" s="26" t="str">
        <x:v>JAVA (defunct)</x:v>
      </x:c>
      <x:c r="D36" s="26" t="str">
        <x:v>Acquired 2010</x:v>
      </x:c>
      <x:c r="E36" s="42"/>
      <x:c r="F36" s="43" t="str">
        <x:f>IF(B36=B35,IFERROR(E36/E35-1,""),"")</x:f>
      </x:c>
      <x:c r="G36" s="42"/>
      <x:c r="H36" s="43" t="str">
        <x:f>IF(B36=B35,IFERROR(G36/G35-1,""),"")</x:f>
      </x:c>
      <x:c r="I36" s="42"/>
      <x:c r="J36" s="43" t="str">
        <x:f>IF(B36=B35,IFERROR(I36/I35-1,""),"")</x:f>
      </x:c>
      <x:c r="K36" s="36" t="str">
        <x:v>Not consistently available</x:v>
      </x:c>
      <x:c r="L36" s="36" t="str">
        <x:v>Unavailable / not comparable</x:v>
      </x:c>
      <x:c r="M36" s="37" t="str">
        <x:v>https://companiesmarketcap.com/sun-microsystems/marketcap/</x:v>
      </x:c>
      <x:c r="N36" s="37" t="str">
        <x:v>https://companiesmarketcap.com/sun-microsystems/revenue/</x:v>
      </x:c>
      <x:c r="O36" s="37" t="str">
        <x:v>https://companiesmarketcap.com/sun-microsystems/earnings/</x:v>
      </x:c>
      <x:c r="P36" s="47" t="str">
        <x:v>Supplementary</x:v>
      </x:c>
    </x:row>
    <x:row r="37">
      <x:c r="A37" s="40" t="n">
        <x:v>1996</x:v>
      </x:c>
      <x:c r="B37" s="26" t="str">
        <x:v>Sun Microsystems</x:v>
      </x:c>
      <x:c r="C37" s="26" t="str">
        <x:v>JAVA (defunct)</x:v>
      </x:c>
      <x:c r="D37" s="26" t="str">
        <x:v>Acquired 2010</x:v>
      </x:c>
      <x:c r="E37" s="42"/>
      <x:c r="F37" s="43" t="str">
        <x:f>IF(B37=B36,IFERROR(E37/E36-1,""),"")</x:f>
      </x:c>
      <x:c r="G37" s="42"/>
      <x:c r="H37" s="43" t="str">
        <x:f>IF(B37=B36,IFERROR(G37/G36-1,""),"")</x:f>
      </x:c>
      <x:c r="I37" s="42"/>
      <x:c r="J37" s="43" t="str">
        <x:f>IF(B37=B36,IFERROR(I37/I36-1,""),"")</x:f>
      </x:c>
      <x:c r="K37" s="36" t="str">
        <x:v>Not consistently available</x:v>
      </x:c>
      <x:c r="L37" s="36" t="str">
        <x:v>Unavailable / not comparable</x:v>
      </x:c>
      <x:c r="M37" s="37" t="str">
        <x:v>https://companiesmarketcap.com/sun-microsystems/marketcap/</x:v>
      </x:c>
      <x:c r="N37" s="37" t="str">
        <x:v>https://companiesmarketcap.com/sun-microsystems/revenue/</x:v>
      </x:c>
      <x:c r="O37" s="37" t="str">
        <x:v>https://companiesmarketcap.com/sun-microsystems/earnings/</x:v>
      </x:c>
      <x:c r="P37" s="47" t="str">
        <x:v>Supplementary</x:v>
      </x:c>
    </x:row>
    <x:row r="38">
      <x:c r="A38" s="40" t="n">
        <x:v>1997</x:v>
      </x:c>
      <x:c r="B38" s="26" t="str">
        <x:v>Sun Microsystems</x:v>
      </x:c>
      <x:c r="C38" s="26" t="str">
        <x:v>JAVA (defunct)</x:v>
      </x:c>
      <x:c r="D38" s="26" t="str">
        <x:v>Acquired 2010</x:v>
      </x:c>
      <x:c r="E38" s="42" t="n">
        <x:v>15.04</x:v>
      </x:c>
      <x:c r="F38" s="43" t="str">
        <x:f>IF(B38=B37,IFERROR(E38/E37-1,""),"")</x:f>
      </x:c>
      <x:c r="G38" s="42"/>
      <x:c r="H38" s="43" t="str">
        <x:f>IF(B38=B37,IFERROR(G38/G37-1,""),"")</x:f>
      </x:c>
      <x:c r="I38" s="42"/>
      <x:c r="J38" s="43" t="str">
        <x:f>IF(B38=B37,IFERROR(I38/I37-1,""),"")</x:f>
      </x:c>
      <x:c r="K38" s="36" t="str">
        <x:v>Not consistently available</x:v>
      </x:c>
      <x:c r="L38" s="36" t="str">
        <x:v>Market-value only</x:v>
      </x:c>
      <x:c r="M38" s="37" t="str">
        <x:v>https://companiesmarketcap.com/sun-microsystems/marketcap/</x:v>
      </x:c>
      <x:c r="N38" s="37" t="str">
        <x:v>https://companiesmarketcap.com/sun-microsystems/revenue/</x:v>
      </x:c>
      <x:c r="O38" s="37" t="str">
        <x:v>https://companiesmarketcap.com/sun-microsystems/earnings/</x:v>
      </x:c>
      <x:c r="P38" s="47" t="str">
        <x:v>Supplementary</x:v>
      </x:c>
    </x:row>
    <x:row r="39">
      <x:c r="A39" s="40" t="n">
        <x:v>1998</x:v>
      </x:c>
      <x:c r="B39" s="26" t="str">
        <x:v>Sun Microsystems</x:v>
      </x:c>
      <x:c r="C39" s="26" t="str">
        <x:v>JAVA (defunct)</x:v>
      </x:c>
      <x:c r="D39" s="26" t="str">
        <x:v>Acquired 2010</x:v>
      </x:c>
      <x:c r="E39" s="42" t="n">
        <x:v>32.98</x:v>
      </x:c>
      <x:c r="F39" s="43" t="n">
        <x:f>IF(B39=B38,IFERROR(E39/E38-1,""),"")</x:f>
        <x:v>1.1928191489361701</x:v>
      </x:c>
      <x:c r="G39" s="42"/>
      <x:c r="H39" s="43" t="str">
        <x:f>IF(B39=B38,IFERROR(G39/G38-1,""),"")</x:f>
      </x:c>
      <x:c r="I39" s="42"/>
      <x:c r="J39" s="43" t="str">
        <x:f>IF(B39=B38,IFERROR(I39/I38-1,""),"")</x:f>
      </x:c>
      <x:c r="K39" s="36" t="str">
        <x:v>Not consistently available</x:v>
      </x:c>
      <x:c r="L39" s="36" t="str">
        <x:v>Market-value only</x:v>
      </x:c>
      <x:c r="M39" s="37" t="str">
        <x:v>https://companiesmarketcap.com/sun-microsystems/marketcap/</x:v>
      </x:c>
      <x:c r="N39" s="37" t="str">
        <x:v>https://companiesmarketcap.com/sun-microsystems/revenue/</x:v>
      </x:c>
      <x:c r="O39" s="37" t="str">
        <x:v>https://companiesmarketcap.com/sun-microsystems/earnings/</x:v>
      </x:c>
      <x:c r="P39" s="47" t="str">
        <x:v>Supplementary</x:v>
      </x:c>
    </x:row>
    <x:row r="40">
      <x:c r="A40" s="40" t="n">
        <x:v>1999</x:v>
      </x:c>
      <x:c r="B40" s="26" t="str">
        <x:v>Sun Microsystems</x:v>
      </x:c>
      <x:c r="C40" s="26" t="str">
        <x:v>JAVA (defunct)</x:v>
      </x:c>
      <x:c r="D40" s="26" t="str">
        <x:v>Acquired 2010</x:v>
      </x:c>
      <x:c r="E40" s="42" t="n">
        <x:v>135.28</x:v>
      </x:c>
      <x:c r="F40" s="43" t="n">
        <x:f>IF(B40=B39,IFERROR(E40/E39-1,""),"")</x:f>
        <x:v>3.101879927228624</x:v>
      </x:c>
      <x:c r="G40" s="42"/>
      <x:c r="H40" s="43" t="str">
        <x:f>IF(B40=B39,IFERROR(G40/G39-1,""),"")</x:f>
      </x:c>
      <x:c r="I40" s="42"/>
      <x:c r="J40" s="43" t="str">
        <x:f>IF(B40=B39,IFERROR(I40/I39-1,""),"")</x:f>
      </x:c>
      <x:c r="K40" s="36" t="str">
        <x:v>Not consistently available</x:v>
      </x:c>
      <x:c r="L40" s="36" t="str">
        <x:v>Market-value only</x:v>
      </x:c>
      <x:c r="M40" s="37" t="str">
        <x:v>https://companiesmarketcap.com/sun-microsystems/marketcap/</x:v>
      </x:c>
      <x:c r="N40" s="37" t="str">
        <x:v>https://companiesmarketcap.com/sun-microsystems/revenue/</x:v>
      </x:c>
      <x:c r="O40" s="37" t="str">
        <x:v>https://companiesmarketcap.com/sun-microsystems/earnings/</x:v>
      </x:c>
      <x:c r="P40" s="47" t="str">
        <x:v>Supplementary</x:v>
      </x:c>
    </x:row>
    <x:row r="41">
      <x:c r="A41" s="40" t="n">
        <x:v>2000</x:v>
      </x:c>
      <x:c r="B41" s="26" t="str">
        <x:v>Sun Microsystems</x:v>
      </x:c>
      <x:c r="C41" s="26" t="str">
        <x:v>JAVA (defunct)</x:v>
      </x:c>
      <x:c r="D41" s="26" t="str">
        <x:v>Acquired 2010</x:v>
      </x:c>
      <x:c r="E41" s="42" t="n">
        <x:v>90.86</x:v>
      </x:c>
      <x:c r="F41" s="43" t="n">
        <x:f>IF(B41=B40,IFERROR(E41/E40-1,""),"")</x:f>
        <x:v>-0.32835600236546425</x:v>
      </x:c>
      <x:c r="G41" s="42"/>
      <x:c r="H41" s="43" t="str">
        <x:f>IF(B41=B40,IFERROR(G41/G40-1,""),"")</x:f>
      </x:c>
      <x:c r="I41" s="42"/>
      <x:c r="J41" s="43" t="str">
        <x:f>IF(B41=B40,IFERROR(I41/I40-1,""),"")</x:f>
      </x:c>
      <x:c r="K41" s="36" t="str">
        <x:v>Not consistently available</x:v>
      </x:c>
      <x:c r="L41" s="36" t="str">
        <x:v>Market-value only</x:v>
      </x:c>
      <x:c r="M41" s="37" t="str">
        <x:v>https://companiesmarketcap.com/sun-microsystems/marketcap/</x:v>
      </x:c>
      <x:c r="N41" s="37" t="str">
        <x:v>https://companiesmarketcap.com/sun-microsystems/revenue/</x:v>
      </x:c>
      <x:c r="O41" s="37" t="str">
        <x:v>https://companiesmarketcap.com/sun-microsystems/earnings/</x:v>
      </x:c>
      <x:c r="P41" s="47" t="str">
        <x:v>Supplementary</x:v>
      </x:c>
    </x:row>
    <x:row r="42">
      <x:c r="A42" s="40" t="n">
        <x:v>2001</x:v>
      </x:c>
      <x:c r="B42" s="26" t="str">
        <x:v>Sun Microsystems</x:v>
      </x:c>
      <x:c r="C42" s="26" t="str">
        <x:v>JAVA (defunct)</x:v>
      </x:c>
      <x:c r="D42" s="26" t="str">
        <x:v>Acquired 2010</x:v>
      </x:c>
      <x:c r="E42" s="42" t="n">
        <x:v>39.87</x:v>
      </x:c>
      <x:c r="F42" s="43" t="n">
        <x:f>IF(B42=B41,IFERROR(E42/E41-1,""),"")</x:f>
        <x:v>-0.5611930442438917</x:v>
      </x:c>
      <x:c r="G42" s="42"/>
      <x:c r="H42" s="43" t="str">
        <x:f>IF(B42=B41,IFERROR(G42/G41-1,""),"")</x:f>
      </x:c>
      <x:c r="I42" s="42"/>
      <x:c r="J42" s="43" t="str">
        <x:f>IF(B42=B41,IFERROR(I42/I41-1,""),"")</x:f>
      </x:c>
      <x:c r="K42" s="36" t="str">
        <x:v>Not consistently available</x:v>
      </x:c>
      <x:c r="L42" s="36" t="str">
        <x:v>Market-value only</x:v>
      </x:c>
      <x:c r="M42" s="37" t="str">
        <x:v>https://companiesmarketcap.com/sun-microsystems/marketcap/</x:v>
      </x:c>
      <x:c r="N42" s="37" t="str">
        <x:v>https://companiesmarketcap.com/sun-microsystems/revenue/</x:v>
      </x:c>
      <x:c r="O42" s="37" t="str">
        <x:v>https://companiesmarketcap.com/sun-microsystems/earnings/</x:v>
      </x:c>
      <x:c r="P42" s="47" t="str">
        <x:v>Supplementary</x:v>
      </x:c>
    </x:row>
    <x:row r="43">
      <x:c r="A43" s="40" t="n">
        <x:v>2002</x:v>
      </x:c>
      <x:c r="B43" s="26" t="str">
        <x:v>Sun Microsystems</x:v>
      </x:c>
      <x:c r="C43" s="26" t="str">
        <x:v>JAVA (defunct)</x:v>
      </x:c>
      <x:c r="D43" s="26" t="str">
        <x:v>Acquired 2010</x:v>
      </x:c>
      <x:c r="E43" s="42" t="n">
        <x:v>9.68</x:v>
      </x:c>
      <x:c r="F43" s="43" t="n">
        <x:f>IF(B43=B42,IFERROR(E43/E42-1,""),"")</x:f>
        <x:v>-0.7572109355405067</x:v>
      </x:c>
      <x:c r="G43" s="42"/>
      <x:c r="H43" s="43" t="str">
        <x:f>IF(B43=B42,IFERROR(G43/G42-1,""),"")</x:f>
      </x:c>
      <x:c r="I43" s="42"/>
      <x:c r="J43" s="43" t="str">
        <x:f>IF(B43=B42,IFERROR(I43/I42-1,""),"")</x:f>
      </x:c>
      <x:c r="K43" s="36" t="str">
        <x:v>Not consistently available</x:v>
      </x:c>
      <x:c r="L43" s="36" t="str">
        <x:v>Market-value only</x:v>
      </x:c>
      <x:c r="M43" s="37" t="str">
        <x:v>https://companiesmarketcap.com/sun-microsystems/marketcap/</x:v>
      </x:c>
      <x:c r="N43" s="37" t="str">
        <x:v>https://companiesmarketcap.com/sun-microsystems/revenue/</x:v>
      </x:c>
      <x:c r="O43" s="37" t="str">
        <x:v>https://companiesmarketcap.com/sun-microsystems/earnings/</x:v>
      </x:c>
      <x:c r="P43" s="47" t="str">
        <x:v>Supplementary</x:v>
      </x:c>
    </x:row>
    <x:row r="44">
      <x:c r="A44" s="40" t="n">
        <x:v>1995</x:v>
      </x:c>
      <x:c r="B44" s="26" t="str">
        <x:v>AOL</x:v>
      </x:c>
      <x:c r="C44" s="26" t="str">
        <x:v>AOL (merged)</x:v>
      </x:c>
      <x:c r="D44" s="26" t="str">
        <x:v>Merged with Time Warner</x:v>
      </x:c>
      <x:c r="E44" s="42"/>
      <x:c r="F44" s="43" t="str">
        <x:f>IF(B44=B43,IFERROR(E44/E43-1,""),"")</x:f>
      </x:c>
      <x:c r="G44" s="42"/>
      <x:c r="H44" s="43" t="str">
        <x:f>IF(B44=B43,IFERROR(G44/G43-1,""),"")</x:f>
      </x:c>
      <x:c r="I44" s="42"/>
      <x:c r="J44" s="43" t="str">
        <x:f>IF(B44=B43,IFERROR(I44/I43-1,""),"")</x:f>
      </x:c>
      <x:c r="K44" s="36" t="str">
        <x:v>Not consistently available</x:v>
      </x:c>
      <x:c r="L44" s="36" t="str">
        <x:v>Unavailable / not comparable</x:v>
      </x:c>
      <x:c r="M44" s="37" t="str"/>
      <x:c r="N44" s="37" t="str"/>
      <x:c r="O44" s="37" t="str"/>
      <x:c r="P44" s="47" t="str">
        <x:v>Supplementary</x:v>
      </x:c>
    </x:row>
    <x:row r="45">
      <x:c r="A45" s="40" t="n">
        <x:v>1996</x:v>
      </x:c>
      <x:c r="B45" s="26" t="str">
        <x:v>AOL</x:v>
      </x:c>
      <x:c r="C45" s="26" t="str">
        <x:v>AOL (merged)</x:v>
      </x:c>
      <x:c r="D45" s="26" t="str">
        <x:v>Merged with Time Warner</x:v>
      </x:c>
      <x:c r="E45" s="42"/>
      <x:c r="F45" s="43" t="str">
        <x:f>IF(B45=B44,IFERROR(E45/E44-1,""),"")</x:f>
      </x:c>
      <x:c r="G45" s="42"/>
      <x:c r="H45" s="43" t="str">
        <x:f>IF(B45=B44,IFERROR(G45/G44-1,""),"")</x:f>
      </x:c>
      <x:c r="I45" s="42"/>
      <x:c r="J45" s="43" t="str">
        <x:f>IF(B45=B44,IFERROR(I45/I44-1,""),"")</x:f>
      </x:c>
      <x:c r="K45" s="36" t="str">
        <x:v>Not consistently available</x:v>
      </x:c>
      <x:c r="L45" s="36" t="str">
        <x:v>Unavailable / not comparable</x:v>
      </x:c>
      <x:c r="M45" s="37" t="str"/>
      <x:c r="N45" s="37" t="str"/>
      <x:c r="O45" s="37" t="str"/>
      <x:c r="P45" s="47" t="str">
        <x:v>Supplementary</x:v>
      </x:c>
    </x:row>
    <x:row r="46">
      <x:c r="A46" s="40" t="n">
        <x:v>1997</x:v>
      </x:c>
      <x:c r="B46" s="26" t="str">
        <x:v>AOL</x:v>
      </x:c>
      <x:c r="C46" s="26" t="str">
        <x:v>AOL (merged)</x:v>
      </x:c>
      <x:c r="D46" s="26" t="str">
        <x:v>Merged with Time Warner</x:v>
      </x:c>
      <x:c r="E46" s="42"/>
      <x:c r="F46" s="43" t="str">
        <x:f>IF(B46=B45,IFERROR(E46/E45-1,""),"")</x:f>
      </x:c>
      <x:c r="G46" s="42"/>
      <x:c r="H46" s="43" t="str">
        <x:f>IF(B46=B45,IFERROR(G46/G45-1,""),"")</x:f>
      </x:c>
      <x:c r="I46" s="42"/>
      <x:c r="J46" s="43" t="str">
        <x:f>IF(B46=B45,IFERROR(I46/I45-1,""),"")</x:f>
      </x:c>
      <x:c r="K46" s="36" t="str">
        <x:v>Not consistently available</x:v>
      </x:c>
      <x:c r="L46" s="36" t="str">
        <x:v>Unavailable / not comparable</x:v>
      </x:c>
      <x:c r="M46" s="37" t="str"/>
      <x:c r="N46" s="37" t="str"/>
      <x:c r="O46" s="37" t="str"/>
      <x:c r="P46" s="47" t="str">
        <x:v>Supplementary</x:v>
      </x:c>
    </x:row>
    <x:row r="47">
      <x:c r="A47" s="40" t="n">
        <x:v>1998</x:v>
      </x:c>
      <x:c r="B47" s="26" t="str">
        <x:v>AOL</x:v>
      </x:c>
      <x:c r="C47" s="26" t="str">
        <x:v>AOL (merged)</x:v>
      </x:c>
      <x:c r="D47" s="26" t="str">
        <x:v>Merged with Time Warner</x:v>
      </x:c>
      <x:c r="E47" s="42"/>
      <x:c r="F47" s="43" t="str">
        <x:f>IF(B47=B46,IFERROR(E47/E46-1,""),"")</x:f>
      </x:c>
      <x:c r="G47" s="42"/>
      <x:c r="H47" s="43" t="str">
        <x:f>IF(B47=B46,IFERROR(G47/G46-1,""),"")</x:f>
      </x:c>
      <x:c r="I47" s="42"/>
      <x:c r="J47" s="43" t="str">
        <x:f>IF(B47=B46,IFERROR(I47/I46-1,""),"")</x:f>
      </x:c>
      <x:c r="K47" s="36" t="str">
        <x:v>Not consistently available</x:v>
      </x:c>
      <x:c r="L47" s="36" t="str">
        <x:v>Unavailable / not comparable</x:v>
      </x:c>
      <x:c r="M47" s="37" t="str"/>
      <x:c r="N47" s="37" t="str"/>
      <x:c r="O47" s="37" t="str"/>
      <x:c r="P47" s="47" t="str">
        <x:v>Supplementary</x:v>
      </x:c>
    </x:row>
    <x:row r="48">
      <x:c r="A48" s="40" t="n">
        <x:v>1999</x:v>
      </x:c>
      <x:c r="B48" s="26" t="str">
        <x:v>AOL</x:v>
      </x:c>
      <x:c r="C48" s="26" t="str">
        <x:v>AOL (merged)</x:v>
      </x:c>
      <x:c r="D48" s="26" t="str">
        <x:v>Merged with Time Warner</x:v>
      </x:c>
      <x:c r="E48" s="42"/>
      <x:c r="F48" s="43" t="str">
        <x:f>IF(B48=B47,IFERROR(E48/E47-1,""),"")</x:f>
      </x:c>
      <x:c r="G48" s="42"/>
      <x:c r="H48" s="43" t="str">
        <x:f>IF(B48=B47,IFERROR(G48/G47-1,""),"")</x:f>
      </x:c>
      <x:c r="I48" s="42"/>
      <x:c r="J48" s="43" t="str">
        <x:f>IF(B48=B47,IFERROR(I48/I47-1,""),"")</x:f>
      </x:c>
      <x:c r="K48" s="36" t="str">
        <x:v>Not consistently available</x:v>
      </x:c>
      <x:c r="L48" s="36" t="str">
        <x:v>Unavailable / not comparable</x:v>
      </x:c>
      <x:c r="M48" s="37" t="str"/>
      <x:c r="N48" s="37" t="str"/>
      <x:c r="O48" s="37" t="str"/>
      <x:c r="P48" s="47" t="str">
        <x:v>Supplementary</x:v>
      </x:c>
    </x:row>
    <x:row r="49">
      <x:c r="A49" s="40" t="n">
        <x:v>2000</x:v>
      </x:c>
      <x:c r="B49" s="26" t="str">
        <x:v>AOL</x:v>
      </x:c>
      <x:c r="C49" s="26" t="str">
        <x:v>AOL (merged)</x:v>
      </x:c>
      <x:c r="D49" s="26" t="str">
        <x:v>Merged with Time Warner</x:v>
      </x:c>
      <x:c r="E49" s="42"/>
      <x:c r="F49" s="43" t="str">
        <x:f>IF(B49=B48,IFERROR(E49/E48-1,""),"")</x:f>
      </x:c>
      <x:c r="G49" s="42"/>
      <x:c r="H49" s="43" t="str">
        <x:f>IF(B49=B48,IFERROR(G49/G48-1,""),"")</x:f>
      </x:c>
      <x:c r="I49" s="42"/>
      <x:c r="J49" s="43" t="str">
        <x:f>IF(B49=B48,IFERROR(I49/I48-1,""),"")</x:f>
      </x:c>
      <x:c r="K49" s="36" t="str">
        <x:v>Not consistently available</x:v>
      </x:c>
      <x:c r="L49" s="36" t="str">
        <x:v>Unavailable / not comparable</x:v>
      </x:c>
      <x:c r="M49" s="37" t="str"/>
      <x:c r="N49" s="37" t="str"/>
      <x:c r="O49" s="37" t="str"/>
      <x:c r="P49" s="47" t="str">
        <x:v>Supplementary</x:v>
      </x:c>
    </x:row>
    <x:row r="50">
      <x:c r="A50" s="40" t="n">
        <x:v>2001</x:v>
      </x:c>
      <x:c r="B50" s="26" t="str">
        <x:v>AOL</x:v>
      </x:c>
      <x:c r="C50" s="26" t="str">
        <x:v>AOL (merged)</x:v>
      </x:c>
      <x:c r="D50" s="26" t="str">
        <x:v>Merged with Time Warner</x:v>
      </x:c>
      <x:c r="E50" s="42"/>
      <x:c r="F50" s="43" t="str">
        <x:f>IF(B50=B49,IFERROR(E50/E49-1,""),"")</x:f>
      </x:c>
      <x:c r="G50" s="42"/>
      <x:c r="H50" s="43" t="str">
        <x:f>IF(B50=B49,IFERROR(G50/G49-1,""),"")</x:f>
      </x:c>
      <x:c r="I50" s="42"/>
      <x:c r="J50" s="43" t="str">
        <x:f>IF(B50=B49,IFERROR(I50/I49-1,""),"")</x:f>
      </x:c>
      <x:c r="K50" s="36" t="str">
        <x:v>Not consistently available</x:v>
      </x:c>
      <x:c r="L50" s="36" t="str">
        <x:v>Unavailable / not comparable</x:v>
      </x:c>
      <x:c r="M50" s="37" t="str"/>
      <x:c r="N50" s="37" t="str"/>
      <x:c r="O50" s="37" t="str"/>
      <x:c r="P50" s="47" t="str">
        <x:v>Supplementary</x:v>
      </x:c>
    </x:row>
    <x:row r="51">
      <x:c r="A51" s="40" t="n">
        <x:v>2002</x:v>
      </x:c>
      <x:c r="B51" s="26" t="str">
        <x:v>AOL</x:v>
      </x:c>
      <x:c r="C51" s="26" t="str">
        <x:v>AOL (merged)</x:v>
      </x:c>
      <x:c r="D51" s="26" t="str">
        <x:v>Merged with Time Warner</x:v>
      </x:c>
      <x:c r="E51" s="42"/>
      <x:c r="F51" s="43" t="str">
        <x:f>IF(B51=B50,IFERROR(E51/E50-1,""),"")</x:f>
      </x:c>
      <x:c r="G51" s="42"/>
      <x:c r="H51" s="43" t="str">
        <x:f>IF(B51=B50,IFERROR(G51/G50-1,""),"")</x:f>
      </x:c>
      <x:c r="I51" s="42"/>
      <x:c r="J51" s="43" t="str">
        <x:f>IF(B51=B50,IFERROR(I51/I50-1,""),"")</x:f>
      </x:c>
      <x:c r="K51" s="36" t="str">
        <x:v>Not consistently available</x:v>
      </x:c>
      <x:c r="L51" s="36" t="str">
        <x:v>Unavailable / not comparable</x:v>
      </x:c>
      <x:c r="M51" s="37" t="str"/>
      <x:c r="N51" s="37" t="str"/>
      <x:c r="O51" s="37" t="str"/>
      <x:c r="P51" s="47" t="str">
        <x:v>Supplementary</x:v>
      </x:c>
    </x:row>
    <x:row r="52">
      <x:c r="A52" s="40" t="n">
        <x:v>1995</x:v>
      </x:c>
      <x:c r="B52" s="26" t="str">
        <x:v>Yahoo</x:v>
      </x:c>
      <x:c r="C52" s="26" t="str">
        <x:v>YHOO (defunct)</x:v>
      </x:c>
      <x:c r="D52" s="26" t="str">
        <x:v>Acquired 2017</x:v>
      </x:c>
      <x:c r="E52" s="42"/>
      <x:c r="F52" s="43" t="str">
        <x:f>IF(B52=B51,IFERROR(E52/E51-1,""),"")</x:f>
      </x:c>
      <x:c r="G52" s="42"/>
      <x:c r="H52" s="43" t="str">
        <x:f>IF(B52=B51,IFERROR(G52/G51-1,""),"")</x:f>
      </x:c>
      <x:c r="I52" s="42"/>
      <x:c r="J52" s="43" t="str">
        <x:f>IF(B52=B51,IFERROR(I52/I51-1,""),"")</x:f>
      </x:c>
      <x:c r="K52" s="36" t="str">
        <x:v>Not consistently available</x:v>
      </x:c>
      <x:c r="L52" s="36" t="str">
        <x:v>Unavailable / not comparable</x:v>
      </x:c>
      <x:c r="M52" s="37" t="str">
        <x:v>https://companiesmarketcap.com/yahoo/marketcap/</x:v>
      </x:c>
      <x:c r="N52" s="37" t="str">
        <x:v>https://companiesmarketcap.com/yahoo/revenue/</x:v>
      </x:c>
      <x:c r="O52" s="37" t="str">
        <x:v>https://companiesmarketcap.com/yahoo/earnings/</x:v>
      </x:c>
      <x:c r="P52" s="47" t="str">
        <x:v>Supplementary</x:v>
      </x:c>
    </x:row>
    <x:row r="53">
      <x:c r="A53" s="40" t="n">
        <x:v>1996</x:v>
      </x:c>
      <x:c r="B53" s="26" t="str">
        <x:v>Yahoo</x:v>
      </x:c>
      <x:c r="C53" s="26" t="str">
        <x:v>YHOO (defunct)</x:v>
      </x:c>
      <x:c r="D53" s="26" t="str">
        <x:v>Acquired 2017</x:v>
      </x:c>
      <x:c r="E53" s="42"/>
      <x:c r="F53" s="43" t="str">
        <x:f>IF(B53=B52,IFERROR(E53/E52-1,""),"")</x:f>
      </x:c>
      <x:c r="G53" s="42"/>
      <x:c r="H53" s="43" t="str">
        <x:f>IF(B53=B52,IFERROR(G53/G52-1,""),"")</x:f>
      </x:c>
      <x:c r="I53" s="42"/>
      <x:c r="J53" s="43" t="str">
        <x:f>IF(B53=B52,IFERROR(I53/I52-1,""),"")</x:f>
      </x:c>
      <x:c r="K53" s="36" t="str">
        <x:v>Not consistently available</x:v>
      </x:c>
      <x:c r="L53" s="36" t="str">
        <x:v>Unavailable / not comparable</x:v>
      </x:c>
      <x:c r="M53" s="37" t="str">
        <x:v>https://companiesmarketcap.com/yahoo/marketcap/</x:v>
      </x:c>
      <x:c r="N53" s="37" t="str">
        <x:v>https://companiesmarketcap.com/yahoo/revenue/</x:v>
      </x:c>
      <x:c r="O53" s="37" t="str">
        <x:v>https://companiesmarketcap.com/yahoo/earnings/</x:v>
      </x:c>
      <x:c r="P53" s="47" t="str">
        <x:v>Supplementary</x:v>
      </x:c>
    </x:row>
    <x:row r="54">
      <x:c r="A54" s="40" t="n">
        <x:v>1997</x:v>
      </x:c>
      <x:c r="B54" s="26" t="str">
        <x:v>Yahoo</x:v>
      </x:c>
      <x:c r="C54" s="26" t="str">
        <x:v>YHOO (defunct)</x:v>
      </x:c>
      <x:c r="D54" s="26" t="str">
        <x:v>Acquired 2017</x:v>
      </x:c>
      <x:c r="E54" s="42" t="n">
        <x:v>2.98</x:v>
      </x:c>
      <x:c r="F54" s="43" t="str">
        <x:f>IF(B54=B53,IFERROR(E54/E53-1,""),"")</x:f>
      </x:c>
      <x:c r="G54" s="42"/>
      <x:c r="H54" s="43" t="str">
        <x:f>IF(B54=B53,IFERROR(G54/G53-1,""),"")</x:f>
      </x:c>
      <x:c r="I54" s="42"/>
      <x:c r="J54" s="43" t="str">
        <x:f>IF(B54=B53,IFERROR(I54/I53-1,""),"")</x:f>
      </x:c>
      <x:c r="K54" s="36" t="str">
        <x:v>Not consistently available</x:v>
      </x:c>
      <x:c r="L54" s="36" t="str">
        <x:v>Market-value only</x:v>
      </x:c>
      <x:c r="M54" s="37" t="str">
        <x:v>https://companiesmarketcap.com/yahoo/marketcap/</x:v>
      </x:c>
      <x:c r="N54" s="37" t="str">
        <x:v>https://companiesmarketcap.com/yahoo/revenue/</x:v>
      </x:c>
      <x:c r="O54" s="37" t="str">
        <x:v>https://companiesmarketcap.com/yahoo/earnings/</x:v>
      </x:c>
      <x:c r="P54" s="47" t="str">
        <x:v>Supplementary</x:v>
      </x:c>
    </x:row>
    <x:row r="55">
      <x:c r="A55" s="40" t="n">
        <x:v>1998</x:v>
      </x:c>
      <x:c r="B55" s="26" t="str">
        <x:v>Yahoo</x:v>
      </x:c>
      <x:c r="C55" s="26" t="str">
        <x:v>YHOO (defunct)</x:v>
      </x:c>
      <x:c r="D55" s="26" t="str">
        <x:v>Acquired 2017</x:v>
      </x:c>
      <x:c r="E55" s="42" t="n">
        <x:v>23.18</x:v>
      </x:c>
      <x:c r="F55" s="43" t="n">
        <x:f>IF(B55=B54,IFERROR(E55/E54-1,""),"")</x:f>
        <x:v>6.778523489932886</x:v>
      </x:c>
      <x:c r="G55" s="42"/>
      <x:c r="H55" s="43" t="str">
        <x:f>IF(B55=B54,IFERROR(G55/G54-1,""),"")</x:f>
      </x:c>
      <x:c r="I55" s="42"/>
      <x:c r="J55" s="43" t="str">
        <x:f>IF(B55=B54,IFERROR(I55/I54-1,""),"")</x:f>
      </x:c>
      <x:c r="K55" s="36" t="str">
        <x:v>Not consistently available</x:v>
      </x:c>
      <x:c r="L55" s="36" t="str">
        <x:v>Market-value only</x:v>
      </x:c>
      <x:c r="M55" s="37" t="str">
        <x:v>https://companiesmarketcap.com/yahoo/marketcap/</x:v>
      </x:c>
      <x:c r="N55" s="37" t="str">
        <x:v>https://companiesmarketcap.com/yahoo/revenue/</x:v>
      </x:c>
      <x:c r="O55" s="37" t="str">
        <x:v>https://companiesmarketcap.com/yahoo/earnings/</x:v>
      </x:c>
      <x:c r="P55" s="47" t="str">
        <x:v>Supplementary</x:v>
      </x:c>
    </x:row>
    <x:row r="56">
      <x:c r="A56" s="40" t="n">
        <x:v>1999</x:v>
      </x:c>
      <x:c r="B56" s="26" t="str">
        <x:v>Yahoo</x:v>
      </x:c>
      <x:c r="C56" s="26" t="str">
        <x:v>YHOO (defunct)</x:v>
      </x:c>
      <x:c r="D56" s="26" t="str">
        <x:v>Acquired 2017</x:v>
      </x:c>
      <x:c r="E56" s="42" t="n">
        <x:v>113.9</x:v>
      </x:c>
      <x:c r="F56" s="43" t="n">
        <x:f>IF(B56=B55,IFERROR(E56/E55-1,""),"")</x:f>
        <x:v>3.9137187230371016</x:v>
      </x:c>
      <x:c r="G56" s="42"/>
      <x:c r="H56" s="43" t="str">
        <x:f>IF(B56=B55,IFERROR(G56/G55-1,""),"")</x:f>
      </x:c>
      <x:c r="I56" s="42"/>
      <x:c r="J56" s="43" t="str">
        <x:f>IF(B56=B55,IFERROR(I56/I55-1,""),"")</x:f>
      </x:c>
      <x:c r="K56" s="36" t="str">
        <x:v>Not consistently available</x:v>
      </x:c>
      <x:c r="L56" s="36" t="str">
        <x:v>Market-value only</x:v>
      </x:c>
      <x:c r="M56" s="37" t="str">
        <x:v>https://companiesmarketcap.com/yahoo/marketcap/</x:v>
      </x:c>
      <x:c r="N56" s="37" t="str">
        <x:v>https://companiesmarketcap.com/yahoo/revenue/</x:v>
      </x:c>
      <x:c r="O56" s="37" t="str">
        <x:v>https://companiesmarketcap.com/yahoo/earnings/</x:v>
      </x:c>
      <x:c r="P56" s="47" t="str">
        <x:v>Supplementary</x:v>
      </x:c>
    </x:row>
    <x:row r="57">
      <x:c r="A57" s="40" t="n">
        <x:v>2000</x:v>
      </x:c>
      <x:c r="B57" s="26" t="str">
        <x:v>Yahoo</x:v>
      </x:c>
      <x:c r="C57" s="26" t="str">
        <x:v>YHOO (defunct)</x:v>
      </x:c>
      <x:c r="D57" s="26" t="str">
        <x:v>Acquired 2017</x:v>
      </x:c>
      <x:c r="E57" s="42" t="n">
        <x:v>16.78</x:v>
      </x:c>
      <x:c r="F57" s="43" t="n">
        <x:f>IF(B57=B56,IFERROR(E57/E56-1,""),"")</x:f>
        <x:v>-0.8526777875329237</x:v>
      </x:c>
      <x:c r="G57" s="42"/>
      <x:c r="H57" s="43" t="str">
        <x:f>IF(B57=B56,IFERROR(G57/G56-1,""),"")</x:f>
      </x:c>
      <x:c r="I57" s="42"/>
      <x:c r="J57" s="43" t="str">
        <x:f>IF(B57=B56,IFERROR(I57/I56-1,""),"")</x:f>
      </x:c>
      <x:c r="K57" s="36" t="str">
        <x:v>Not consistently available</x:v>
      </x:c>
      <x:c r="L57" s="36" t="str">
        <x:v>Market-value only</x:v>
      </x:c>
      <x:c r="M57" s="37" t="str">
        <x:v>https://companiesmarketcap.com/yahoo/marketcap/</x:v>
      </x:c>
      <x:c r="N57" s="37" t="str">
        <x:v>https://companiesmarketcap.com/yahoo/revenue/</x:v>
      </x:c>
      <x:c r="O57" s="37" t="str">
        <x:v>https://companiesmarketcap.com/yahoo/earnings/</x:v>
      </x:c>
      <x:c r="P57" s="47" t="str">
        <x:v>Supplementary</x:v>
      </x:c>
    </x:row>
    <x:row r="58">
      <x:c r="A58" s="40" t="n">
        <x:v>2001</x:v>
      </x:c>
      <x:c r="B58" s="26" t="str">
        <x:v>Yahoo</x:v>
      </x:c>
      <x:c r="C58" s="26" t="str">
        <x:v>YHOO (defunct)</x:v>
      </x:c>
      <x:c r="D58" s="26" t="str">
        <x:v>Acquired 2017</x:v>
      </x:c>
      <x:c r="E58" s="42" t="n">
        <x:v>10.2</x:v>
      </x:c>
      <x:c r="F58" s="43" t="n">
        <x:f>IF(B58=B57,IFERROR(E58/E57-1,""),"")</x:f>
        <x:v>-0.3921334922526818</x:v>
      </x:c>
      <x:c r="G58" s="42"/>
      <x:c r="H58" s="43" t="str">
        <x:f>IF(B58=B57,IFERROR(G58/G57-1,""),"")</x:f>
      </x:c>
      <x:c r="I58" s="42"/>
      <x:c r="J58" s="43" t="str">
        <x:f>IF(B58=B57,IFERROR(I58/I57-1,""),"")</x:f>
      </x:c>
      <x:c r="K58" s="36" t="str">
        <x:v>Not consistently available</x:v>
      </x:c>
      <x:c r="L58" s="36" t="str">
        <x:v>Market-value only</x:v>
      </x:c>
      <x:c r="M58" s="37" t="str">
        <x:v>https://companiesmarketcap.com/yahoo/marketcap/</x:v>
      </x:c>
      <x:c r="N58" s="37" t="str">
        <x:v>https://companiesmarketcap.com/yahoo/revenue/</x:v>
      </x:c>
      <x:c r="O58" s="37" t="str">
        <x:v>https://companiesmarketcap.com/yahoo/earnings/</x:v>
      </x:c>
      <x:c r="P58" s="47" t="str">
        <x:v>Supplementary</x:v>
      </x:c>
    </x:row>
    <x:row r="59">
      <x:c r="A59" s="40" t="n">
        <x:v>2002</x:v>
      </x:c>
      <x:c r="B59" s="26" t="str">
        <x:v>Yahoo</x:v>
      </x:c>
      <x:c r="C59" s="26" t="str">
        <x:v>YHOO (defunct)</x:v>
      </x:c>
      <x:c r="D59" s="26" t="str">
        <x:v>Acquired 2017</x:v>
      </x:c>
      <x:c r="E59" s="42" t="n">
        <x:v>9.75</x:v>
      </x:c>
      <x:c r="F59" s="43" t="n">
        <x:f>IF(B59=B58,IFERROR(E59/E58-1,""),"")</x:f>
        <x:v>-0.044117647058823484</x:v>
      </x:c>
      <x:c r="G59" s="42"/>
      <x:c r="H59" s="43" t="str">
        <x:f>IF(B59=B58,IFERROR(G59/G58-1,""),"")</x:f>
      </x:c>
      <x:c r="I59" s="42"/>
      <x:c r="J59" s="43" t="str">
        <x:f>IF(B59=B58,IFERROR(I59/I58-1,""),"")</x:f>
      </x:c>
      <x:c r="K59" s="36" t="str">
        <x:v>Not consistently available</x:v>
      </x:c>
      <x:c r="L59" s="36" t="str">
        <x:v>Market-value only</x:v>
      </x:c>
      <x:c r="M59" s="37" t="str">
        <x:v>https://companiesmarketcap.com/yahoo/marketcap/</x:v>
      </x:c>
      <x:c r="N59" s="37" t="str">
        <x:v>https://companiesmarketcap.com/yahoo/revenue/</x:v>
      </x:c>
      <x:c r="O59" s="37" t="str">
        <x:v>https://companiesmarketcap.com/yahoo/earnings/</x:v>
      </x:c>
      <x:c r="P59" s="47" t="str">
        <x:v>Supplementary</x:v>
      </x:c>
    </x:row>
    <x:row r="60">
      <x:c r="A60" s="40" t="n">
        <x:v>1995</x:v>
      </x:c>
      <x:c r="B60" s="26" t="str">
        <x:v>Amazon</x:v>
      </x:c>
      <x:c r="C60" s="26" t="str">
        <x:v>AMZN</x:v>
      </x:c>
      <x:c r="D60" s="26" t="str">
        <x:v>Public</x:v>
      </x:c>
      <x:c r="E60" s="42"/>
      <x:c r="F60" s="43" t="str">
        <x:f>IF(B60=B59,IFERROR(E60/E59-1,""),"")</x:f>
      </x:c>
      <x:c r="G60" s="42"/>
      <x:c r="H60" s="43" t="str">
        <x:f>IF(B60=B59,IFERROR(G60/G59-1,""),"")</x:f>
      </x:c>
      <x:c r="I60" s="42"/>
      <x:c r="J60" s="43" t="str">
        <x:f>IF(B60=B59,IFERROR(I60/I59-1,""),"")</x:f>
      </x:c>
      <x:c r="K60" s="36" t="str">
        <x:v>Pretax income</x:v>
      </x:c>
      <x:c r="L60" s="36" t="str">
        <x:v>Unavailable / not comparable</x:v>
      </x:c>
      <x:c r="M60" s="37" t="str">
        <x:v>https://companiesmarketcap.com/amazon/marketcap/</x:v>
      </x:c>
      <x:c r="N60" s="37" t="str">
        <x:v>https://companiesmarketcap.com/amazon/revenue/</x:v>
      </x:c>
      <x:c r="O60" s="37" t="str">
        <x:v>https://companiesmarketcap.com/amazon/earnings/</x:v>
      </x:c>
      <x:c r="P60" s="47" t="str">
        <x:v>Supplementary</x:v>
      </x:c>
    </x:row>
    <x:row r="61">
      <x:c r="A61" s="40" t="n">
        <x:v>1996</x:v>
      </x:c>
      <x:c r="B61" s="26" t="str">
        <x:v>Amazon</x:v>
      </x:c>
      <x:c r="C61" s="26" t="str">
        <x:v>AMZN</x:v>
      </x:c>
      <x:c r="D61" s="26" t="str">
        <x:v>Public</x:v>
      </x:c>
      <x:c r="E61" s="42"/>
      <x:c r="F61" s="43" t="str">
        <x:f>IF(B61=B60,IFERROR(E61/E60-1,""),"")</x:f>
      </x:c>
      <x:c r="G61" s="42"/>
      <x:c r="H61" s="43" t="str">
        <x:f>IF(B61=B60,IFERROR(G61/G60-1,""),"")</x:f>
      </x:c>
      <x:c r="I61" s="42"/>
      <x:c r="J61" s="43" t="str">
        <x:f>IF(B61=B60,IFERROR(I61/I60-1,""),"")</x:f>
      </x:c>
      <x:c r="K61" s="36" t="str">
        <x:v>Pretax income</x:v>
      </x:c>
      <x:c r="L61" s="36" t="str">
        <x:v>Unavailable / not comparable</x:v>
      </x:c>
      <x:c r="M61" s="37" t="str">
        <x:v>https://companiesmarketcap.com/amazon/marketcap/</x:v>
      </x:c>
      <x:c r="N61" s="37" t="str">
        <x:v>https://companiesmarketcap.com/amazon/revenue/</x:v>
      </x:c>
      <x:c r="O61" s="37" t="str">
        <x:v>https://companiesmarketcap.com/amazon/earnings/</x:v>
      </x:c>
      <x:c r="P61" s="47" t="str">
        <x:v>Supplementary</x:v>
      </x:c>
    </x:row>
    <x:row r="62">
      <x:c r="A62" s="40" t="n">
        <x:v>1997</x:v>
      </x:c>
      <x:c r="B62" s="26" t="str">
        <x:v>Amazon</x:v>
      </x:c>
      <x:c r="C62" s="26" t="str">
        <x:v>AMZN</x:v>
      </x:c>
      <x:c r="D62" s="26" t="str">
        <x:v>Public</x:v>
      </x:c>
      <x:c r="E62" s="42" t="n">
        <x:v>1.44</x:v>
      </x:c>
      <x:c r="F62" s="43" t="str">
        <x:f>IF(B62=B61,IFERROR(E62/E61-1,""),"")</x:f>
      </x:c>
      <x:c r="G62" s="42" t="n">
        <x:v>0.15</x:v>
      </x:c>
      <x:c r="H62" s="43" t="str">
        <x:f>IF(B62=B61,IFERROR(G62/G61-1,""),"")</x:f>
      </x:c>
      <x:c r="I62" s="42" t="n">
        <x:v>-0.0291</x:v>
      </x:c>
      <x:c r="J62" s="43" t="str">
        <x:f>IF(B62=B61,IFERROR(I62/I61-1,""),"")</x:f>
      </x:c>
      <x:c r="K62" s="36" t="str">
        <x:v>Pretax income</x:v>
      </x:c>
      <x:c r="L62" s="36" t="str">
        <x:v>Complete public proxy set</x:v>
      </x:c>
      <x:c r="M62" s="37" t="str">
        <x:v>https://companiesmarketcap.com/amazon/marketcap/</x:v>
      </x:c>
      <x:c r="N62" s="37" t="str">
        <x:v>https://companiesmarketcap.com/amazon/revenue/</x:v>
      </x:c>
      <x:c r="O62" s="37" t="str">
        <x:v>https://companiesmarketcap.com/amazon/earnings/</x:v>
      </x:c>
      <x:c r="P62" s="47" t="str">
        <x:v>Supplementary</x:v>
      </x:c>
    </x:row>
    <x:row r="63">
      <x:c r="A63" s="40" t="n">
        <x:v>1998</x:v>
      </x:c>
      <x:c r="B63" s="26" t="str">
        <x:v>Amazon</x:v>
      </x:c>
      <x:c r="C63" s="26" t="str">
        <x:v>AMZN</x:v>
      </x:c>
      <x:c r="D63" s="26" t="str">
        <x:v>Public</x:v>
      </x:c>
      <x:c r="E63" s="42" t="n">
        <x:v>17.05</x:v>
      </x:c>
      <x:c r="F63" s="43" t="n">
        <x:f>IF(B63=B62,IFERROR(E63/E62-1,""),"")</x:f>
        <x:v>10.840277777777779</x:v>
      </x:c>
      <x:c r="G63" s="42" t="n">
        <x:v>0.61</x:v>
      </x:c>
      <x:c r="H63" s="43" t="n">
        <x:f>IF(B63=B62,IFERROR(G63/G62-1,""),"")</x:f>
        <x:v>3.0666666666666664</x:v>
      </x:c>
      <x:c r="I63" s="42" t="n">
        <x:v>-0.13</x:v>
      </x:c>
      <x:c r="J63" s="43" t="n">
        <x:f>IF(B63=B62,IFERROR(I63/I62-1,""),"")</x:f>
        <x:v>3.4673539518900345</x:v>
      </x:c>
      <x:c r="K63" s="36" t="str">
        <x:v>Pretax income</x:v>
      </x:c>
      <x:c r="L63" s="36" t="str">
        <x:v>Complete public proxy set</x:v>
      </x:c>
      <x:c r="M63" s="37" t="str">
        <x:v>https://companiesmarketcap.com/amazon/marketcap/</x:v>
      </x:c>
      <x:c r="N63" s="37" t="str">
        <x:v>https://companiesmarketcap.com/amazon/revenue/</x:v>
      </x:c>
      <x:c r="O63" s="37" t="str">
        <x:v>https://companiesmarketcap.com/amazon/earnings/</x:v>
      </x:c>
      <x:c r="P63" s="47" t="str">
        <x:v>Supplementary</x:v>
      </x:c>
    </x:row>
    <x:row r="64">
      <x:c r="A64" s="40" t="n">
        <x:v>1999</x:v>
      </x:c>
      <x:c r="B64" s="26" t="str">
        <x:v>Amazon</x:v>
      </x:c>
      <x:c r="C64" s="26" t="str">
        <x:v>AMZN</x:v>
      </x:c>
      <x:c r="D64" s="26" t="str">
        <x:v>Public</x:v>
      </x:c>
      <x:c r="E64" s="42" t="n">
        <x:v>26.27</x:v>
      </x:c>
      <x:c r="F64" s="43" t="n">
        <x:f>IF(B64=B63,IFERROR(E64/E63-1,""),"")</x:f>
        <x:v>0.5407624633431085</x:v>
      </x:c>
      <x:c r="G64" s="42" t="n">
        <x:v>1.64</x:v>
      </x:c>
      <x:c r="H64" s="43" t="n">
        <x:f>IF(B64=B63,IFERROR(G64/G63-1,""),"")</x:f>
        <x:v>1.6885245901639343</x:v>
      </x:c>
      <x:c r="I64" s="42"/>
      <x:c r="J64" s="43" t="n">
        <x:f>IF(B64=B63,IFERROR(I64/I63-1,""),"")</x:f>
        <x:v>-1</x:v>
      </x:c>
      <x:c r="K64" s="36" t="str">
        <x:v>Pretax income</x:v>
      </x:c>
      <x:c r="L64" s="36" t="str">
        <x:v>Partial</x:v>
      </x:c>
      <x:c r="M64" s="37" t="str">
        <x:v>https://companiesmarketcap.com/amazon/marketcap/</x:v>
      </x:c>
      <x:c r="N64" s="37" t="str">
        <x:v>https://companiesmarketcap.com/amazon/revenue/</x:v>
      </x:c>
      <x:c r="O64" s="37" t="str">
        <x:v>https://companiesmarketcap.com/amazon/earnings/</x:v>
      </x:c>
      <x:c r="P64" s="47" t="str">
        <x:v>Supplementary</x:v>
      </x:c>
    </x:row>
    <x:row r="65">
      <x:c r="A65" s="40" t="n">
        <x:v>2000</x:v>
      </x:c>
      <x:c r="B65" s="26" t="str">
        <x:v>Amazon</x:v>
      </x:c>
      <x:c r="C65" s="26" t="str">
        <x:v>AMZN</x:v>
      </x:c>
      <x:c r="D65" s="26" t="str">
        <x:v>Public</x:v>
      </x:c>
      <x:c r="E65" s="42" t="n">
        <x:v>5.55</x:v>
      </x:c>
      <x:c r="F65" s="43" t="n">
        <x:f>IF(B65=B64,IFERROR(E65/E64-1,""),"")</x:f>
        <x:v>-0.7887323943661972</x:v>
      </x:c>
      <x:c r="G65" s="42" t="n">
        <x:v>2.76</x:v>
      </x:c>
      <x:c r="H65" s="43" t="n">
        <x:f>IF(B65=B64,IFERROR(G65/G64-1,""),"")</x:f>
        <x:v>0.6829268292682926</x:v>
      </x:c>
      <x:c r="I65" s="42" t="n">
        <x:v>-0.98</x:v>
      </x:c>
      <x:c r="J65" s="43" t="str">
        <x:f>IF(B65=B64,IFERROR(I65/I64-1,""),"")</x:f>
      </x:c>
      <x:c r="K65" s="36" t="str">
        <x:v>Pretax income</x:v>
      </x:c>
      <x:c r="L65" s="36" t="str">
        <x:v>Complete public proxy set</x:v>
      </x:c>
      <x:c r="M65" s="37" t="str">
        <x:v>https://companiesmarketcap.com/amazon/marketcap/</x:v>
      </x:c>
      <x:c r="N65" s="37" t="str">
        <x:v>https://companiesmarketcap.com/amazon/revenue/</x:v>
      </x:c>
      <x:c r="O65" s="37" t="str">
        <x:v>https://companiesmarketcap.com/amazon/earnings/</x:v>
      </x:c>
      <x:c r="P65" s="47" t="str">
        <x:v>Supplementary</x:v>
      </x:c>
    </x:row>
    <x:row r="66">
      <x:c r="A66" s="40" t="n">
        <x:v>2001</x:v>
      </x:c>
      <x:c r="B66" s="26" t="str">
        <x:v>Amazon</x:v>
      </x:c>
      <x:c r="C66" s="26" t="str">
        <x:v>AMZN</x:v>
      </x:c>
      <x:c r="D66" s="26" t="str">
        <x:v>Public</x:v>
      </x:c>
      <x:c r="E66" s="42" t="n">
        <x:v>4.03</x:v>
      </x:c>
      <x:c r="F66" s="43" t="n">
        <x:f>IF(B66=B65,IFERROR(E66/E65-1,""),"")</x:f>
        <x:v>-0.27387387387387385</x:v>
      </x:c>
      <x:c r="G66" s="42" t="n">
        <x:v>3.12</x:v>
      </x:c>
      <x:c r="H66" s="43" t="n">
        <x:f>IF(B66=B65,IFERROR(G66/G65-1,""),"")</x:f>
        <x:v>0.1304347826086958</x:v>
      </x:c>
      <x:c r="I66" s="42" t="n">
        <x:v>-0.39</x:v>
      </x:c>
      <x:c r="J66" s="43" t="n">
        <x:f>IF(B66=B65,IFERROR(I66/I65-1,""),"")</x:f>
        <x:v>-0.6020408163265306</x:v>
      </x:c>
      <x:c r="K66" s="36" t="str">
        <x:v>Pretax income</x:v>
      </x:c>
      <x:c r="L66" s="36" t="str">
        <x:v>Complete public proxy set</x:v>
      </x:c>
      <x:c r="M66" s="37" t="str">
        <x:v>https://companiesmarketcap.com/amazon/marketcap/</x:v>
      </x:c>
      <x:c r="N66" s="37" t="str">
        <x:v>https://companiesmarketcap.com/amazon/revenue/</x:v>
      </x:c>
      <x:c r="O66" s="37" t="str">
        <x:v>https://companiesmarketcap.com/amazon/earnings/</x:v>
      </x:c>
      <x:c r="P66" s="47" t="str">
        <x:v>Supplementary</x:v>
      </x:c>
    </x:row>
    <x:row r="67">
      <x:c r="A67" s="40" t="n">
        <x:v>2002</x:v>
      </x:c>
      <x:c r="B67" s="26" t="str">
        <x:v>Amazon</x:v>
      </x:c>
      <x:c r="C67" s="26" t="str">
        <x:v>AMZN</x:v>
      </x:c>
      <x:c r="D67" s="26" t="str">
        <x:v>Public</x:v>
      </x:c>
      <x:c r="E67" s="42" t="n">
        <x:v>7.32</x:v>
      </x:c>
      <x:c r="F67" s="43" t="n">
        <x:f>IF(B67=B66,IFERROR(E67/E66-1,""),"")</x:f>
        <x:v>0.8163771712158809</x:v>
      </x:c>
      <x:c r="G67" s="42" t="n">
        <x:v>3.93</x:v>
      </x:c>
      <x:c r="H67" s="43" t="n">
        <x:f>IF(B67=B66,IFERROR(G67/G66-1,""),"")</x:f>
        <x:v>0.2596153846153846</x:v>
      </x:c>
      <x:c r="I67" s="42" t="n">
        <x:v>-0.00284</x:v>
      </x:c>
      <x:c r="J67" s="43" t="n">
        <x:f>IF(B67=B66,IFERROR(I67/I66-1,""),"")</x:f>
        <x:v>-0.9927179487179487</x:v>
      </x:c>
      <x:c r="K67" s="36" t="str">
        <x:v>Pretax income</x:v>
      </x:c>
      <x:c r="L67" s="36" t="str">
        <x:v>Complete public proxy set</x:v>
      </x:c>
      <x:c r="M67" s="37" t="str">
        <x:v>https://companiesmarketcap.com/amazon/marketcap/</x:v>
      </x:c>
      <x:c r="N67" s="37" t="str">
        <x:v>https://companiesmarketcap.com/amazon/revenue/</x:v>
      </x:c>
      <x:c r="O67" s="37" t="str">
        <x:v>https://companiesmarketcap.com/amazon/earnings/</x:v>
      </x:c>
      <x:c r="P67" s="47" t="str">
        <x:v>Supplementary</x:v>
      </x:c>
    </x:row>
    <x:row r="68">
      <x:c r="A68" s="40" t="n">
        <x:v>1995</x:v>
      </x:c>
      <x:c r="B68" s="26" t="str">
        <x:v>QUALCOMM</x:v>
      </x:c>
      <x:c r="C68" s="26" t="str">
        <x:v>QCOM</x:v>
      </x:c>
      <x:c r="D68" s="26" t="str">
        <x:v>Public</x:v>
      </x:c>
      <x:c r="E68" s="42"/>
      <x:c r="F68" s="43" t="str">
        <x:f>IF(B68=B67,IFERROR(E68/E67-1,""),"")</x:f>
      </x:c>
      <x:c r="G68" s="42"/>
      <x:c r="H68" s="43" t="str">
        <x:f>IF(B68=B67,IFERROR(G68/G67-1,""),"")</x:f>
      </x:c>
      <x:c r="I68" s="42"/>
      <x:c r="J68" s="43" t="str">
        <x:f>IF(B68=B67,IFERROR(I68/I67-1,""),"")</x:f>
      </x:c>
      <x:c r="K68" s="36" t="str">
        <x:v>Pretax income</x:v>
      </x:c>
      <x:c r="L68" s="36" t="str">
        <x:v>Unavailable / not comparable</x:v>
      </x:c>
      <x:c r="M68" s="37" t="str">
        <x:v>https://companiesmarketcap.com/qualcomm/marketcap/</x:v>
      </x:c>
      <x:c r="N68" s="37" t="str">
        <x:v>https://companiesmarketcap.com/qualcomm/revenue/</x:v>
      </x:c>
      <x:c r="O68" s="37" t="str">
        <x:v>https://companiesmarketcap.com/qualcomm/earnings/</x:v>
      </x:c>
      <x:c r="P68" s="47" t="str">
        <x:v>Core</x:v>
      </x:c>
    </x:row>
    <x:row r="69">
      <x:c r="A69" s="40" t="n">
        <x:v>1996</x:v>
      </x:c>
      <x:c r="B69" s="26" t="str">
        <x:v>QUALCOMM</x:v>
      </x:c>
      <x:c r="C69" s="26" t="str">
        <x:v>QCOM</x:v>
      </x:c>
      <x:c r="D69" s="26" t="str">
        <x:v>Public</x:v>
      </x:c>
      <x:c r="E69" s="42" t="n">
        <x:v>2.67</x:v>
      </x:c>
      <x:c r="F69" s="43" t="str">
        <x:f>IF(B69=B68,IFERROR(E69/E68-1,""),"")</x:f>
      </x:c>
      <x:c r="G69" s="42" t="n">
        <x:v>1.05</x:v>
      </x:c>
      <x:c r="H69" s="43" t="str">
        <x:f>IF(B69=B68,IFERROR(G69/G68-1,""),"")</x:f>
      </x:c>
      <x:c r="I69" s="42" t="n">
        <x:v>0.00281</x:v>
      </x:c>
      <x:c r="J69" s="43" t="str">
        <x:f>IF(B69=B68,IFERROR(I69/I68-1,""),"")</x:f>
      </x:c>
      <x:c r="K69" s="36" t="str">
        <x:v>Pretax income</x:v>
      </x:c>
      <x:c r="L69" s="36" t="str">
        <x:v>Complete public proxy set</x:v>
      </x:c>
      <x:c r="M69" s="37" t="str">
        <x:v>https://companiesmarketcap.com/qualcomm/marketcap/</x:v>
      </x:c>
      <x:c r="N69" s="37" t="str">
        <x:v>https://companiesmarketcap.com/qualcomm/revenue/</x:v>
      </x:c>
      <x:c r="O69" s="37" t="str">
        <x:v>https://companiesmarketcap.com/qualcomm/earnings/</x:v>
      </x:c>
      <x:c r="P69" s="47" t="str">
        <x:v>Core</x:v>
      </x:c>
    </x:row>
    <x:row r="70">
      <x:c r="A70" s="40" t="n">
        <x:v>1997</x:v>
      </x:c>
      <x:c r="B70" s="26" t="str">
        <x:v>QUALCOMM</x:v>
      </x:c>
      <x:c r="C70" s="26" t="str">
        <x:v>QCOM</x:v>
      </x:c>
      <x:c r="D70" s="26" t="str">
        <x:v>Public</x:v>
      </x:c>
      <x:c r="E70" s="42" t="n">
        <x:v>3.48</x:v>
      </x:c>
      <x:c r="F70" s="43" t="n">
        <x:f>IF(B70=B69,IFERROR(E70/E69-1,""),"")</x:f>
        <x:v>0.303370786516854</x:v>
      </x:c>
      <x:c r="G70" s="42" t="n">
        <x:v>2.49</x:v>
      </x:c>
      <x:c r="H70" s="43" t="n">
        <x:f>IF(B70=B69,IFERROR(G70/G69-1,""),"")</x:f>
        <x:v>1.3714285714285714</x:v>
      </x:c>
      <x:c r="I70" s="42" t="n">
        <x:v>0.13</x:v>
      </x:c>
      <x:c r="J70" s="43" t="n">
        <x:f>IF(B70=B69,IFERROR(I70/I69-1,""),"")</x:f>
        <x:v>45.26334519572954</x:v>
      </x:c>
      <x:c r="K70" s="36" t="str">
        <x:v>Pretax income</x:v>
      </x:c>
      <x:c r="L70" s="36" t="str">
        <x:v>Complete public proxy set</x:v>
      </x:c>
      <x:c r="M70" s="37" t="str">
        <x:v>https://companiesmarketcap.com/qualcomm/marketcap/</x:v>
      </x:c>
      <x:c r="N70" s="37" t="str">
        <x:v>https://companiesmarketcap.com/qualcomm/revenue/</x:v>
      </x:c>
      <x:c r="O70" s="37" t="str">
        <x:v>https://companiesmarketcap.com/qualcomm/earnings/</x:v>
      </x:c>
      <x:c r="P70" s="47" t="str">
        <x:v>Core</x:v>
      </x:c>
    </x:row>
    <x:row r="71">
      <x:c r="A71" s="40" t="n">
        <x:v>1998</x:v>
      </x:c>
      <x:c r="B71" s="26" t="str">
        <x:v>QUALCOMM</x:v>
      </x:c>
      <x:c r="C71" s="26" t="str">
        <x:v>QCOM</x:v>
      </x:c>
      <x:c r="D71" s="26" t="str">
        <x:v>Public</x:v>
      </x:c>
      <x:c r="E71" s="42" t="n">
        <x:v>3.7</x:v>
      </x:c>
      <x:c r="F71" s="43" t="n">
        <x:f>IF(B71=B70,IFERROR(E71/E70-1,""),"")</x:f>
        <x:v>0.06321839080459779</x:v>
      </x:c>
      <x:c r="G71" s="42" t="n">
        <x:v>3.5</x:v>
      </x:c>
      <x:c r="H71" s="43" t="n">
        <x:f>IF(B71=B70,IFERROR(G71/G70-1,""),"")</x:f>
        <x:v>0.4056224899598393</x:v>
      </x:c>
      <x:c r="I71" s="42" t="n">
        <x:v>0.26</x:v>
      </x:c>
      <x:c r="J71" s="43" t="n">
        <x:f>IF(B71=B70,IFERROR(I71/I70-1,""),"")</x:f>
        <x:v>1</x:v>
      </x:c>
      <x:c r="K71" s="36" t="str">
        <x:v>Pretax income</x:v>
      </x:c>
      <x:c r="L71" s="36" t="str">
        <x:v>Complete public proxy set</x:v>
      </x:c>
      <x:c r="M71" s="37" t="str">
        <x:v>https://companiesmarketcap.com/qualcomm/marketcap/</x:v>
      </x:c>
      <x:c r="N71" s="37" t="str">
        <x:v>https://companiesmarketcap.com/qualcomm/revenue/</x:v>
      </x:c>
      <x:c r="O71" s="37" t="str">
        <x:v>https://companiesmarketcap.com/qualcomm/earnings/</x:v>
      </x:c>
      <x:c r="P71" s="47" t="str">
        <x:v>Core</x:v>
      </x:c>
    </x:row>
    <x:row r="72">
      <x:c r="A72" s="40" t="n">
        <x:v>1999</x:v>
      </x:c>
      <x:c r="B72" s="26" t="str">
        <x:v>QUALCOMM</x:v>
      </x:c>
      <x:c r="C72" s="26" t="str">
        <x:v>QCOM</x:v>
      </x:c>
      <x:c r="D72" s="26" t="str">
        <x:v>Public</x:v>
      </x:c>
      <x:c r="E72" s="42" t="n">
        <x:v>124.73</x:v>
      </x:c>
      <x:c r="F72" s="43" t="n">
        <x:f>IF(B72=B71,IFERROR(E72/E71-1,""),"")</x:f>
        <x:v>32.71081081081081</x:v>
      </x:c>
      <x:c r="G72" s="42" t="n">
        <x:v>4.11</x:v>
      </x:c>
      <x:c r="H72" s="43" t="n">
        <x:f>IF(B72=B71,IFERROR(G72/G71-1,""),"")</x:f>
        <x:v>0.17428571428571438</x:v>
      </x:c>
      <x:c r="I72" s="42" t="n">
        <x:v>0.58</x:v>
      </x:c>
      <x:c r="J72" s="43" t="n">
        <x:f>IF(B72=B71,IFERROR(I72/I71-1,""),"")</x:f>
        <x:v>1.2307692307692304</x:v>
      </x:c>
      <x:c r="K72" s="36" t="str">
        <x:v>Pretax income</x:v>
      </x:c>
      <x:c r="L72" s="36" t="str">
        <x:v>Complete public proxy set</x:v>
      </x:c>
      <x:c r="M72" s="37" t="str">
        <x:v>https://companiesmarketcap.com/qualcomm/marketcap/</x:v>
      </x:c>
      <x:c r="N72" s="37" t="str">
        <x:v>https://companiesmarketcap.com/qualcomm/revenue/</x:v>
      </x:c>
      <x:c r="O72" s="37" t="str">
        <x:v>https://companiesmarketcap.com/qualcomm/earnings/</x:v>
      </x:c>
      <x:c r="P72" s="47" t="str">
        <x:v>Core</x:v>
      </x:c>
    </x:row>
    <x:row r="73">
      <x:c r="A73" s="40" t="n">
        <x:v>2000</x:v>
      </x:c>
      <x:c r="B73" s="26" t="str">
        <x:v>QUALCOMM</x:v>
      </x:c>
      <x:c r="C73" s="26" t="str">
        <x:v>QCOM</x:v>
      </x:c>
      <x:c r="D73" s="26" t="str">
        <x:v>Public</x:v>
      </x:c>
      <x:c r="E73" s="42" t="n">
        <x:v>61.92</x:v>
      </x:c>
      <x:c r="F73" s="43" t="n">
        <x:f>IF(B73=B72,IFERROR(E73/E72-1,""),"")</x:f>
        <x:v>-0.5035677062454902</x:v>
      </x:c>
      <x:c r="G73" s="42" t="n">
        <x:v>2.73</x:v>
      </x:c>
      <x:c r="H73" s="43" t="n">
        <x:f>IF(B73=B72,IFERROR(G73/G72-1,""),"")</x:f>
        <x:v>-0.33576642335766427</x:v>
      </x:c>
      <x:c r="I73" s="42" t="n">
        <x:v>0.09797</x:v>
      </x:c>
      <x:c r="J73" s="43" t="n">
        <x:f>IF(B73=B72,IFERROR(I73/I72-1,""),"")</x:f>
        <x:v>-0.8310862068965517</x:v>
      </x:c>
      <x:c r="K73" s="36" t="str">
        <x:v>Pretax income</x:v>
      </x:c>
      <x:c r="L73" s="36" t="str">
        <x:v>Complete public proxy set</x:v>
      </x:c>
      <x:c r="M73" s="37" t="str">
        <x:v>https://companiesmarketcap.com/qualcomm/marketcap/</x:v>
      </x:c>
      <x:c r="N73" s="37" t="str">
        <x:v>https://companiesmarketcap.com/qualcomm/revenue/</x:v>
      </x:c>
      <x:c r="O73" s="37" t="str">
        <x:v>https://companiesmarketcap.com/qualcomm/earnings/</x:v>
      </x:c>
      <x:c r="P73" s="47" t="str">
        <x:v>Core</x:v>
      </x:c>
    </x:row>
    <x:row r="74">
      <x:c r="A74" s="40" t="n">
        <x:v>2001</x:v>
      </x:c>
      <x:c r="B74" s="26" t="str">
        <x:v>QUALCOMM</x:v>
      </x:c>
      <x:c r="C74" s="26" t="str">
        <x:v>QCOM</x:v>
      </x:c>
      <x:c r="D74" s="26" t="str">
        <x:v>Public</x:v>
      </x:c>
      <x:c r="E74" s="42" t="n">
        <x:v>38.74</x:v>
      </x:c>
      <x:c r="F74" s="43" t="n">
        <x:f>IF(B74=B73,IFERROR(E74/E73-1,""),"")</x:f>
        <x:v>-0.3743540051679587</x:v>
      </x:c>
      <x:c r="G74" s="42" t="n">
        <x:v>2.69</x:v>
      </x:c>
      <x:c r="H74" s="43" t="n">
        <x:f>IF(B74=B73,IFERROR(G74/G73-1,""),"")</x:f>
        <x:v>-0.014652014652014711</x:v>
      </x:c>
      <x:c r="I74" s="42" t="n">
        <x:v>0.58</x:v>
      </x:c>
      <x:c r="J74" s="43" t="n">
        <x:f>IF(B74=B73,IFERROR(I74/I73-1,""),"")</x:f>
        <x:v>4.920179646830662</x:v>
      </x:c>
      <x:c r="K74" s="36" t="str">
        <x:v>Pretax income</x:v>
      </x:c>
      <x:c r="L74" s="36" t="str">
        <x:v>Complete public proxy set</x:v>
      </x:c>
      <x:c r="M74" s="37" t="str">
        <x:v>https://companiesmarketcap.com/qualcomm/marketcap/</x:v>
      </x:c>
      <x:c r="N74" s="37" t="str">
        <x:v>https://companiesmarketcap.com/qualcomm/revenue/</x:v>
      </x:c>
      <x:c r="O74" s="37" t="str">
        <x:v>https://companiesmarketcap.com/qualcomm/earnings/</x:v>
      </x:c>
      <x:c r="P74" s="47" t="str">
        <x:v>Core</x:v>
      </x:c>
    </x:row>
    <x:row r="75">
      <x:c r="A75" s="40" t="n">
        <x:v>2002</x:v>
      </x:c>
      <x:c r="B75" s="26" t="str">
        <x:v>QUALCOMM</x:v>
      </x:c>
      <x:c r="C75" s="26" t="str">
        <x:v>QCOM</x:v>
      </x:c>
      <x:c r="D75" s="26" t="str">
        <x:v>Public</x:v>
      </x:c>
      <x:c r="E75" s="42" t="n">
        <x:v>28.7</x:v>
      </x:c>
      <x:c r="F75" s="43" t="n">
        <x:f>IF(B75=B74,IFERROR(E75/E74-1,""),"")</x:f>
        <x:v>-0.2591636551368095</x:v>
      </x:c>
      <x:c r="G75" s="42" t="n">
        <x:v>3.43</x:v>
      </x:c>
      <x:c r="H75" s="43" t="n">
        <x:f>IF(B75=B74,IFERROR(G75/G74-1,""),"")</x:f>
        <x:v>0.275092936802974</x:v>
      </x:c>
      <x:c r="I75" s="42" t="n">
        <x:v>0.93</x:v>
      </x:c>
      <x:c r="J75" s="43" t="n">
        <x:f>IF(B75=B74,IFERROR(I75/I74-1,""),"")</x:f>
        <x:v>0.6034482758620692</x:v>
      </x:c>
      <x:c r="K75" s="36" t="str">
        <x:v>Pretax income</x:v>
      </x:c>
      <x:c r="L75" s="36" t="str">
        <x:v>Complete public proxy set</x:v>
      </x:c>
      <x:c r="M75" s="37" t="str">
        <x:v>https://companiesmarketcap.com/qualcomm/marketcap/</x:v>
      </x:c>
      <x:c r="N75" s="37" t="str">
        <x:v>https://companiesmarketcap.com/qualcomm/revenue/</x:v>
      </x:c>
      <x:c r="O75" s="37" t="str">
        <x:v>https://companiesmarketcap.com/qualcomm/earnings/</x:v>
      </x:c>
      <x:c r="P75" s="47" t="str">
        <x:v>Core</x:v>
      </x:c>
    </x:row>
    <x:row r="76">
      <x:c r="A76" s="40" t="n">
        <x:v>1995</x:v>
      </x:c>
      <x:c r="B76" s="26" t="str">
        <x:v>WorldCom</x:v>
      </x:c>
      <x:c r="C76" s="26" t="str">
        <x:v>WCOM (bankrupt)</x:v>
      </x:c>
      <x:c r="D76" s="26" t="str">
        <x:v>Bankrupt 2002</x:v>
      </x:c>
      <x:c r="E76" s="42"/>
      <x:c r="F76" s="43" t="str">
        <x:f>IF(B76=B75,IFERROR(E76/E75-1,""),"")</x:f>
      </x:c>
      <x:c r="G76" s="42"/>
      <x:c r="H76" s="43" t="str">
        <x:f>IF(B76=B75,IFERROR(G76/G75-1,""),"")</x:f>
      </x:c>
      <x:c r="I76" s="42"/>
      <x:c r="J76" s="43" t="str">
        <x:f>IF(B76=B75,IFERROR(I76/I75-1,""),"")</x:f>
      </x:c>
      <x:c r="K76" s="36" t="str">
        <x:v>Historical profit figures unreliable after accounting fraud</x:v>
      </x:c>
      <x:c r="L76" s="36" t="str">
        <x:v>Unavailable / not comparable</x:v>
      </x:c>
      <x:c r="M76" s="37" t="str"/>
      <x:c r="N76" s="37" t="str"/>
      <x:c r="O76" s="37" t="str"/>
      <x:c r="P76" s="47" t="str">
        <x:v>Supplementary</x:v>
      </x:c>
    </x:row>
    <x:row r="77">
      <x:c r="A77" s="40" t="n">
        <x:v>1996</x:v>
      </x:c>
      <x:c r="B77" s="26" t="str">
        <x:v>WorldCom</x:v>
      </x:c>
      <x:c r="C77" s="26" t="str">
        <x:v>WCOM (bankrupt)</x:v>
      </x:c>
      <x:c r="D77" s="26" t="str">
        <x:v>Bankrupt 2002</x:v>
      </x:c>
      <x:c r="E77" s="42"/>
      <x:c r="F77" s="43" t="str">
        <x:f>IF(B77=B76,IFERROR(E77/E76-1,""),"")</x:f>
      </x:c>
      <x:c r="G77" s="42"/>
      <x:c r="H77" s="43" t="str">
        <x:f>IF(B77=B76,IFERROR(G77/G76-1,""),"")</x:f>
      </x:c>
      <x:c r="I77" s="42"/>
      <x:c r="J77" s="43" t="str">
        <x:f>IF(B77=B76,IFERROR(I77/I76-1,""),"")</x:f>
      </x:c>
      <x:c r="K77" s="36" t="str">
        <x:v>Historical profit figures unreliable after accounting fraud</x:v>
      </x:c>
      <x:c r="L77" s="36" t="str">
        <x:v>Unavailable / not comparable</x:v>
      </x:c>
      <x:c r="M77" s="37" t="str"/>
      <x:c r="N77" s="37" t="str"/>
      <x:c r="O77" s="37" t="str"/>
      <x:c r="P77" s="47" t="str">
        <x:v>Supplementary</x:v>
      </x:c>
    </x:row>
    <x:row r="78">
      <x:c r="A78" s="40" t="n">
        <x:v>1997</x:v>
      </x:c>
      <x:c r="B78" s="26" t="str">
        <x:v>WorldCom</x:v>
      </x:c>
      <x:c r="C78" s="26" t="str">
        <x:v>WCOM (bankrupt)</x:v>
      </x:c>
      <x:c r="D78" s="26" t="str">
        <x:v>Bankrupt 2002</x:v>
      </x:c>
      <x:c r="E78" s="42"/>
      <x:c r="F78" s="43" t="str">
        <x:f>IF(B78=B77,IFERROR(E78/E77-1,""),"")</x:f>
      </x:c>
      <x:c r="G78" s="42"/>
      <x:c r="H78" s="43" t="str">
        <x:f>IF(B78=B77,IFERROR(G78/G77-1,""),"")</x:f>
      </x:c>
      <x:c r="I78" s="42"/>
      <x:c r="J78" s="43" t="str">
        <x:f>IF(B78=B77,IFERROR(I78/I77-1,""),"")</x:f>
      </x:c>
      <x:c r="K78" s="36" t="str">
        <x:v>Historical profit figures unreliable after accounting fraud</x:v>
      </x:c>
      <x:c r="L78" s="36" t="str">
        <x:v>Unavailable / not comparable</x:v>
      </x:c>
      <x:c r="M78" s="37" t="str"/>
      <x:c r="N78" s="37" t="str"/>
      <x:c r="O78" s="37" t="str"/>
      <x:c r="P78" s="47" t="str">
        <x:v>Supplementary</x:v>
      </x:c>
    </x:row>
    <x:row r="79">
      <x:c r="A79" s="40" t="n">
        <x:v>1998</x:v>
      </x:c>
      <x:c r="B79" s="26" t="str">
        <x:v>WorldCom</x:v>
      </x:c>
      <x:c r="C79" s="26" t="str">
        <x:v>WCOM (bankrupt)</x:v>
      </x:c>
      <x:c r="D79" s="26" t="str">
        <x:v>Bankrupt 2002</x:v>
      </x:c>
      <x:c r="E79" s="42"/>
      <x:c r="F79" s="43" t="str">
        <x:f>IF(B79=B78,IFERROR(E79/E78-1,""),"")</x:f>
      </x:c>
      <x:c r="G79" s="42"/>
      <x:c r="H79" s="43" t="str">
        <x:f>IF(B79=B78,IFERROR(G79/G78-1,""),"")</x:f>
      </x:c>
      <x:c r="I79" s="42"/>
      <x:c r="J79" s="43" t="str">
        <x:f>IF(B79=B78,IFERROR(I79/I78-1,""),"")</x:f>
      </x:c>
      <x:c r="K79" s="36" t="str">
        <x:v>Historical profit figures unreliable after accounting fraud</x:v>
      </x:c>
      <x:c r="L79" s="36" t="str">
        <x:v>Unavailable / not comparable</x:v>
      </x:c>
      <x:c r="M79" s="37" t="str"/>
      <x:c r="N79" s="37" t="str"/>
      <x:c r="O79" s="37" t="str"/>
      <x:c r="P79" s="47" t="str">
        <x:v>Supplementary</x:v>
      </x:c>
    </x:row>
    <x:row r="80">
      <x:c r="A80" s="40" t="n">
        <x:v>1999</x:v>
      </x:c>
      <x:c r="B80" s="26" t="str">
        <x:v>WorldCom</x:v>
      </x:c>
      <x:c r="C80" s="26" t="str">
        <x:v>WCOM (bankrupt)</x:v>
      </x:c>
      <x:c r="D80" s="26" t="str">
        <x:v>Bankrupt 2002</x:v>
      </x:c>
      <x:c r="E80" s="42"/>
      <x:c r="F80" s="43" t="str">
        <x:f>IF(B80=B79,IFERROR(E80/E79-1,""),"")</x:f>
      </x:c>
      <x:c r="G80" s="42"/>
      <x:c r="H80" s="43" t="str">
        <x:f>IF(B80=B79,IFERROR(G80/G79-1,""),"")</x:f>
      </x:c>
      <x:c r="I80" s="42"/>
      <x:c r="J80" s="43" t="str">
        <x:f>IF(B80=B79,IFERROR(I80/I79-1,""),"")</x:f>
      </x:c>
      <x:c r="K80" s="36" t="str">
        <x:v>Historical profit figures unreliable after accounting fraud</x:v>
      </x:c>
      <x:c r="L80" s="36" t="str">
        <x:v>Unavailable / not comparable</x:v>
      </x:c>
      <x:c r="M80" s="37" t="str"/>
      <x:c r="N80" s="37" t="str"/>
      <x:c r="O80" s="37" t="str"/>
      <x:c r="P80" s="47" t="str">
        <x:v>Supplementary</x:v>
      </x:c>
    </x:row>
    <x:row r="81">
      <x:c r="A81" s="40" t="n">
        <x:v>2000</x:v>
      </x:c>
      <x:c r="B81" s="26" t="str">
        <x:v>WorldCom</x:v>
      </x:c>
      <x:c r="C81" s="26" t="str">
        <x:v>WCOM (bankrupt)</x:v>
      </x:c>
      <x:c r="D81" s="26" t="str">
        <x:v>Bankrupt 2002</x:v>
      </x:c>
      <x:c r="E81" s="42"/>
      <x:c r="F81" s="43" t="str">
        <x:f>IF(B81=B80,IFERROR(E81/E80-1,""),"")</x:f>
      </x:c>
      <x:c r="G81" s="42"/>
      <x:c r="H81" s="43" t="str">
        <x:f>IF(B81=B80,IFERROR(G81/G80-1,""),"")</x:f>
      </x:c>
      <x:c r="I81" s="42"/>
      <x:c r="J81" s="43" t="str">
        <x:f>IF(B81=B80,IFERROR(I81/I80-1,""),"")</x:f>
      </x:c>
      <x:c r="K81" s="36" t="str">
        <x:v>Historical profit figures unreliable after accounting fraud</x:v>
      </x:c>
      <x:c r="L81" s="36" t="str">
        <x:v>Unavailable / not comparable</x:v>
      </x:c>
      <x:c r="M81" s="37" t="str"/>
      <x:c r="N81" s="37" t="str"/>
      <x:c r="O81" s="37" t="str"/>
      <x:c r="P81" s="47" t="str">
        <x:v>Supplementary</x:v>
      </x:c>
    </x:row>
    <x:row r="82">
      <x:c r="A82" s="40" t="n">
        <x:v>2001</x:v>
      </x:c>
      <x:c r="B82" s="26" t="str">
        <x:v>WorldCom</x:v>
      </x:c>
      <x:c r="C82" s="26" t="str">
        <x:v>WCOM (bankrupt)</x:v>
      </x:c>
      <x:c r="D82" s="26" t="str">
        <x:v>Bankrupt 2002</x:v>
      </x:c>
      <x:c r="E82" s="42"/>
      <x:c r="F82" s="43" t="str">
        <x:f>IF(B82=B81,IFERROR(E82/E81-1,""),"")</x:f>
      </x:c>
      <x:c r="G82" s="42"/>
      <x:c r="H82" s="43" t="str">
        <x:f>IF(B82=B81,IFERROR(G82/G81-1,""),"")</x:f>
      </x:c>
      <x:c r="I82" s="42"/>
      <x:c r="J82" s="43" t="str">
        <x:f>IF(B82=B81,IFERROR(I82/I81-1,""),"")</x:f>
      </x:c>
      <x:c r="K82" s="36" t="str">
        <x:v>Historical profit figures unreliable after accounting fraud</x:v>
      </x:c>
      <x:c r="L82" s="36" t="str">
        <x:v>Unavailable / not comparable</x:v>
      </x:c>
      <x:c r="M82" s="37" t="str"/>
      <x:c r="N82" s="37" t="str"/>
      <x:c r="O82" s="37" t="str"/>
      <x:c r="P82" s="47" t="str">
        <x:v>Supplementary</x:v>
      </x:c>
    </x:row>
    <x:row r="83">
      <x:c r="A83" s="48" t="n">
        <x:v>2002</x:v>
      </x:c>
      <x:c r="B83" s="49" t="str">
        <x:v>WorldCom</x:v>
      </x:c>
      <x:c r="C83" s="49" t="str">
        <x:v>WCOM (bankrupt)</x:v>
      </x:c>
      <x:c r="D83" s="49" t="str">
        <x:v>Bankrupt 2002</x:v>
      </x:c>
      <x:c r="E83" s="50"/>
      <x:c r="F83" s="51" t="str">
        <x:f>IF(B83=B82,IFERROR(E83/E82-1,""),"")</x:f>
      </x:c>
      <x:c r="G83" s="50"/>
      <x:c r="H83" s="51" t="str">
        <x:f>IF(B83=B82,IFERROR(G83/G82-1,""),"")</x:f>
      </x:c>
      <x:c r="I83" s="50"/>
      <x:c r="J83" s="51" t="str">
        <x:f>IF(B83=B82,IFERROR(I83/I82-1,""),"")</x:f>
      </x:c>
      <x:c r="K83" s="52" t="str">
        <x:v>Historical profit figures unreliable after accounting fraud</x:v>
      </x:c>
      <x:c r="L83" s="52" t="str">
        <x:v>Unavailable / not comparable</x:v>
      </x:c>
      <x:c r="M83" s="53" t="str"/>
      <x:c r="N83" s="53" t="str"/>
      <x:c r="O83" s="53" t="str"/>
      <x:c r="P83" s="54" t="str">
        <x:v>Supplementary</x:v>
      </x:c>
    </x:row>
  </x:sheetData>
  <x:mergeCells>
    <x:mergeCell ref="A1:P1"/>
    <x:mergeCell ref="A2:P2"/>
  </x:mergeCells>
  <x:conditionalFormatting sqref="F4:F8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8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4:J83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ac95d78d85e43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6" hidden="0" customWidth="1"/>
    <x:col min="4" max="4" width="19" hidden="0" customWidth="1"/>
    <x:col min="5" max="5" width="21" hidden="0" customWidth="1"/>
    <x:col min="6" max="6" width="17" hidden="0" customWidth="1"/>
    <x:col min="7" max="7" width="14" hidden="0" customWidth="1"/>
    <x:col min="8" max="8" width="16" hidden="0" customWidth="1"/>
    <x:col min="9" max="9" width="19" hidden="0" customWidth="1"/>
    <x:col min="10" max="10" width="16" hidden="0" customWidth="1"/>
    <x:col min="11" max="11" width="21" hidden="0" customWidth="1"/>
    <x:col min="12" max="12" width="22" hidden="0" customWidth="1"/>
    <x:col min="13" max="13" width="36" hidden="0" customWidth="1"/>
    <x:col min="14" max="14" width="36" hidden="0" customWidth="1"/>
    <x:col min="15" max="15" width="36" hidden="0" customWidth="1"/>
    <x:col min="16" max="16" width="14" hidden="0" customWidth="1"/>
  </x:cols>
  <x:sheetData>
    <x:row r="1" ht="28" customHeight="1">
      <x:c r="A1" s="5" t="str">
        <x:v>AI Market Boom Company Dataset (2022–2025)</x:v>
      </x:c>
    </x:row>
    <x:row r="2" ht="34" customHeight="1">
      <x:c r="A2" s="12" t="str">
        <x:v>The AI boom is open-ended. This table uses completed annual observations from 2022–2025. Public firms use year-end market capitalisation; OpenAI and Anthropic use reported private valuation estimates.</x:v>
      </x:c>
    </x:row>
    <x:row r="3" ht="34" customHeight="1">
      <x:c r="A3" s="20" t="str">
        <x:v>Year</x:v>
      </x:c>
      <x:c r="B3" s="20" t="str">
        <x:v>Company</x:v>
      </x:c>
      <x:c r="C3" s="20" t="str">
        <x:v>Ticker / status</x:v>
      </x:c>
      <x:c r="D3" s="20" t="str">
        <x:v>Listing status</x:v>
      </x:c>
      <x:c r="E3" s="20" t="str">
        <x:v>Market value / valuation proxy ($bn)</x:v>
      </x:c>
      <x:c r="F3" s="20" t="str">
        <x:v>YoY market-value growth</x:v>
      </x:c>
      <x:c r="G3" s="20" t="str">
        <x:v>Revenue ($bn)</x:v>
      </x:c>
      <x:c r="H3" s="20" t="str">
        <x:v>YoY revenue growth</x:v>
      </x:c>
      <x:c r="I3" s="20" t="str">
        <x:v>Profit / earnings proxy ($bn)</x:v>
      </x:c>
      <x:c r="J3" s="20" t="str">
        <x:v>YoY profit growth</x:v>
      </x:c>
      <x:c r="K3" s="20" t="str">
        <x:v>Profit metric basis</x:v>
      </x:c>
      <x:c r="L3" s="20" t="str">
        <x:v>Data completeness</x:v>
      </x:c>
      <x:c r="M3" s="20" t="str">
        <x:v>Market-value source</x:v>
      </x:c>
      <x:c r="N3" s="20" t="str">
        <x:v>Revenue source</x:v>
      </x:c>
      <x:c r="O3" s="20" t="str">
        <x:v>Profit source</x:v>
      </x:c>
      <x:c r="P3" s="46" t="str">
        <x:v>Chart basket</x:v>
      </x:c>
    </x:row>
    <x:row r="4">
      <x:c r="A4" s="40" t="n">
        <x:v>2022</x:v>
      </x:c>
      <x:c r="B4" s="26" t="str">
        <x:v>NVIDIA</x:v>
      </x:c>
      <x:c r="C4" s="26" t="str">
        <x:v>NVDA</x:v>
      </x:c>
      <x:c r="D4" s="26" t="str">
        <x:v>Public</x:v>
      </x:c>
      <x:c r="E4" s="42" t="n">
        <x:v>364.18</x:v>
      </x:c>
      <x:c r="F4" s="43" t="str">
        <x:f>""</x:f>
      </x:c>
      <x:c r="G4" s="42" t="n">
        <x:v>26.97</x:v>
      </x:c>
      <x:c r="H4" s="43" t="str">
        <x:f>""</x:f>
      </x:c>
      <x:c r="I4" s="42" t="n">
        <x:v>4.44</x:v>
      </x:c>
      <x:c r="J4" s="43" t="str">
        <x:f>""</x:f>
      </x:c>
      <x:c r="K4" s="36" t="str">
        <x:v>Pretax income</x:v>
      </x:c>
      <x:c r="L4" s="36" t="str">
        <x:v>Complete public proxy set</x:v>
      </x:c>
      <x:c r="M4" s="37" t="str">
        <x:v>https://companiesmarketcap.com/nvidia/marketcap/</x:v>
      </x:c>
      <x:c r="N4" s="37" t="str">
        <x:v>https://companiesmarketcap.com/nvidia/revenue/</x:v>
      </x:c>
      <x:c r="O4" s="37" t="str">
        <x:v>https://companiesmarketcap.com/nvidia/earnings/</x:v>
      </x:c>
      <x:c r="P4" s="47" t="str">
        <x:v>Core</x:v>
      </x:c>
    </x:row>
    <x:row r="5">
      <x:c r="A5" s="40" t="n">
        <x:v>2023</x:v>
      </x:c>
      <x:c r="B5" s="26" t="str">
        <x:v>NVIDIA</x:v>
      </x:c>
      <x:c r="C5" s="26" t="str">
        <x:v>NVDA</x:v>
      </x:c>
      <x:c r="D5" s="26" t="str">
        <x:v>Public</x:v>
      </x:c>
      <x:c r="E5" s="42" t="n">
        <x:v>1223</x:v>
      </x:c>
      <x:c r="F5" s="43" t="n">
        <x:f>IF(B5=B4,IFERROR(E5/E4-1,""),"")</x:f>
        <x:v>2.3582294469767695</x:v>
      </x:c>
      <x:c r="G5" s="42" t="n">
        <x:v>60.92</x:v>
      </x:c>
      <x:c r="H5" s="43" t="n">
        <x:f>IF(B5=B4,IFERROR(G5/G4-1,""),"")</x:f>
        <x:v>1.2588060808305528</x:v>
      </x:c>
      <x:c r="I5" s="42" t="n">
        <x:v>34.07</x:v>
      </x:c>
      <x:c r="J5" s="43" t="n">
        <x:f>IF(B5=B4,IFERROR(I5/I4-1,""),"")</x:f>
        <x:v>6.673423423423423</x:v>
      </x:c>
      <x:c r="K5" s="36" t="str">
        <x:v>Pretax income</x:v>
      </x:c>
      <x:c r="L5" s="36" t="str">
        <x:v>Complete public proxy set</x:v>
      </x:c>
      <x:c r="M5" s="37" t="str">
        <x:v>https://companiesmarketcap.com/nvidia/marketcap/</x:v>
      </x:c>
      <x:c r="N5" s="37" t="str">
        <x:v>https://companiesmarketcap.com/nvidia/revenue/</x:v>
      </x:c>
      <x:c r="O5" s="37" t="str">
        <x:v>https://companiesmarketcap.com/nvidia/earnings/</x:v>
      </x:c>
      <x:c r="P5" s="47" t="str">
        <x:v>Core</x:v>
      </x:c>
    </x:row>
    <x:row r="6">
      <x:c r="A6" s="40" t="n">
        <x:v>2024</x:v>
      </x:c>
      <x:c r="B6" s="26" t="str">
        <x:v>NVIDIA</x:v>
      </x:c>
      <x:c r="C6" s="26" t="str">
        <x:v>NVDA</x:v>
      </x:c>
      <x:c r="D6" s="26" t="str">
        <x:v>Public</x:v>
      </x:c>
      <x:c r="E6" s="42" t="n">
        <x:v>3288</x:v>
      </x:c>
      <x:c r="F6" s="43" t="n">
        <x:f>IF(B6=B5,IFERROR(E6/E5-1,""),"")</x:f>
        <x:v>1.688470973017171</x:v>
      </x:c>
      <x:c r="G6" s="42" t="n">
        <x:v>130.49</x:v>
      </x:c>
      <x:c r="H6" s="43" t="n">
        <x:f>IF(B6=B5,IFERROR(G6/G5-1,""),"")</x:f>
        <x:v>1.14198949441891</x:v>
      </x:c>
      <x:c r="I6" s="42" t="n">
        <x:v>84.27</x:v>
      </x:c>
      <x:c r="J6" s="43" t="n">
        <x:f>IF(B6=B5,IFERROR(I6/I5-1,""),"")</x:f>
        <x:v>1.4734370413853828</x:v>
      </x:c>
      <x:c r="K6" s="36" t="str">
        <x:v>Pretax income</x:v>
      </x:c>
      <x:c r="L6" s="36" t="str">
        <x:v>Complete public proxy set</x:v>
      </x:c>
      <x:c r="M6" s="37" t="str">
        <x:v>https://companiesmarketcap.com/nvidia/marketcap/</x:v>
      </x:c>
      <x:c r="N6" s="37" t="str">
        <x:v>https://companiesmarketcap.com/nvidia/revenue/</x:v>
      </x:c>
      <x:c r="O6" s="37" t="str">
        <x:v>https://companiesmarketcap.com/nvidia/earnings/</x:v>
      </x:c>
      <x:c r="P6" s="47" t="str">
        <x:v>Core</x:v>
      </x:c>
    </x:row>
    <x:row r="7">
      <x:c r="A7" s="40" t="n">
        <x:v>2025</x:v>
      </x:c>
      <x:c r="B7" s="26" t="str">
        <x:v>NVIDIA</x:v>
      </x:c>
      <x:c r="C7" s="26" t="str">
        <x:v>NVDA</x:v>
      </x:c>
      <x:c r="D7" s="26" t="str">
        <x:v>Public</x:v>
      </x:c>
      <x:c r="E7" s="42" t="n">
        <x:v>4638</x:v>
      </x:c>
      <x:c r="F7" s="43" t="n">
        <x:f>IF(B7=B6,IFERROR(E7/E6-1,""),"")</x:f>
        <x:v>0.41058394160583944</x:v>
      </x:c>
      <x:c r="G7" s="42" t="n">
        <x:v>215.93</x:v>
      </x:c>
      <x:c r="H7" s="43" t="n">
        <x:f>IF(B7=B6,IFERROR(G7/G6-1,""),"")</x:f>
        <x:v>0.6547628170741053</x:v>
      </x:c>
      <x:c r="I7" s="42" t="n">
        <x:v>141.7</x:v>
      </x:c>
      <x:c r="J7" s="43" t="n">
        <x:f>IF(B7=B6,IFERROR(I7/I6-1,""),"")</x:f>
        <x:v>0.681499940666904</x:v>
      </x:c>
      <x:c r="K7" s="36" t="str">
        <x:v>Pretax income</x:v>
      </x:c>
      <x:c r="L7" s="36" t="str">
        <x:v>Complete public proxy set</x:v>
      </x:c>
      <x:c r="M7" s="37" t="str">
        <x:v>https://companiesmarketcap.com/nvidia/marketcap/</x:v>
      </x:c>
      <x:c r="N7" s="37" t="str">
        <x:v>https://companiesmarketcap.com/nvidia/revenue/</x:v>
      </x:c>
      <x:c r="O7" s="37" t="str">
        <x:v>https://companiesmarketcap.com/nvidia/earnings/</x:v>
      </x:c>
      <x:c r="P7" s="47" t="str">
        <x:v>Core</x:v>
      </x:c>
    </x:row>
    <x:row r="8">
      <x:c r="A8" s="40" t="n">
        <x:v>2022</x:v>
      </x:c>
      <x:c r="B8" s="26" t="str">
        <x:v>Microsoft</x:v>
      </x:c>
      <x:c r="C8" s="26" t="str">
        <x:v>MSFT</x:v>
      </x:c>
      <x:c r="D8" s="26" t="str">
        <x:v>Public</x:v>
      </x:c>
      <x:c r="E8" s="42" t="n">
        <x:v>1787</x:v>
      </x:c>
      <x:c r="F8" s="43" t="str">
        <x:f>IF(B8=B7,IFERROR(E8/E7-1,""),"")</x:f>
      </x:c>
      <x:c r="G8" s="42" t="n">
        <x:v>204.09</x:v>
      </x:c>
      <x:c r="H8" s="43" t="str">
        <x:f>IF(B8=B7,IFERROR(G8/G7-1,""),"")</x:f>
      </x:c>
      <x:c r="I8" s="42" t="n">
        <x:v>82.58</x:v>
      </x:c>
      <x:c r="J8" s="43" t="str">
        <x:f>IF(B8=B7,IFERROR(I8/I7-1,""),"")</x:f>
      </x:c>
      <x:c r="K8" s="36" t="str">
        <x:v>EBIT</x:v>
      </x:c>
      <x:c r="L8" s="36" t="str">
        <x:v>Complete public proxy set</x:v>
      </x:c>
      <x:c r="M8" s="37" t="str">
        <x:v>https://companiesmarketcap.com/microsoft/marketcap/</x:v>
      </x:c>
      <x:c r="N8" s="37" t="str">
        <x:v>https://companiesmarketcap.com/microsoft/revenue/</x:v>
      </x:c>
      <x:c r="O8" s="37" t="str">
        <x:v>https://companiesmarketcap.com/microsoft/earnings/</x:v>
      </x:c>
      <x:c r="P8" s="47" t="str">
        <x:v>Core</x:v>
      </x:c>
    </x:row>
    <x:row r="9">
      <x:c r="A9" s="40" t="n">
        <x:v>2023</x:v>
      </x:c>
      <x:c r="B9" s="26" t="str">
        <x:v>Microsoft</x:v>
      </x:c>
      <x:c r="C9" s="26" t="str">
        <x:v>MSFT</x:v>
      </x:c>
      <x:c r="D9" s="26" t="str">
        <x:v>Public</x:v>
      </x:c>
      <x:c r="E9" s="42" t="n">
        <x:v>2794</x:v>
      </x:c>
      <x:c r="F9" s="43" t="n">
        <x:f>IF(B9=B8,IFERROR(E9/E8-1,""),"")</x:f>
        <x:v>0.5635142697257973</x:v>
      </x:c>
      <x:c r="G9" s="42" t="n">
        <x:v>227.58</x:v>
      </x:c>
      <x:c r="H9" s="43" t="n">
        <x:f>IF(B9=B8,IFERROR(G9/G8-1,""),"")</x:f>
        <x:v>0.11509628105247693</x:v>
      </x:c>
      <x:c r="I9" s="42" t="n">
        <x:v>101.21</x:v>
      </x:c>
      <x:c r="J9" s="43" t="n">
        <x:f>IF(B9=B8,IFERROR(I9/I8-1,""),"")</x:f>
        <x:v>0.22559941874545886</x:v>
      </x:c>
      <x:c r="K9" s="36" t="str">
        <x:v>EBIT</x:v>
      </x:c>
      <x:c r="L9" s="36" t="str">
        <x:v>Complete public proxy set</x:v>
      </x:c>
      <x:c r="M9" s="37" t="str">
        <x:v>https://companiesmarketcap.com/microsoft/marketcap/</x:v>
      </x:c>
      <x:c r="N9" s="37" t="str">
        <x:v>https://companiesmarketcap.com/microsoft/revenue/</x:v>
      </x:c>
      <x:c r="O9" s="37" t="str">
        <x:v>https://companiesmarketcap.com/microsoft/earnings/</x:v>
      </x:c>
      <x:c r="P9" s="47" t="str">
        <x:v>Core</x:v>
      </x:c>
    </x:row>
    <x:row r="10">
      <x:c r="A10" s="40" t="n">
        <x:v>2024</x:v>
      </x:c>
      <x:c r="B10" s="26" t="str">
        <x:v>Microsoft</x:v>
      </x:c>
      <x:c r="C10" s="26" t="str">
        <x:v>MSFT</x:v>
      </x:c>
      <x:c r="D10" s="26" t="str">
        <x:v>Public</x:v>
      </x:c>
      <x:c r="E10" s="42" t="n">
        <x:v>3200</x:v>
      </x:c>
      <x:c r="F10" s="43" t="n">
        <x:f>IF(B10=B9,IFERROR(E10/E9-1,""),"")</x:f>
        <x:v>0.14531138153185408</x:v>
      </x:c>
      <x:c r="G10" s="42" t="n">
        <x:v>261.8</x:v>
      </x:c>
      <x:c r="H10" s="43" t="n">
        <x:f>IF(B10=B9,IFERROR(G10/G9-1,""),"")</x:f>
        <x:v>0.15036470691624926</x:v>
      </x:c>
      <x:c r="I10" s="42" t="n">
        <x:v>113.61</x:v>
      </x:c>
      <x:c r="J10" s="43" t="n">
        <x:f>IF(B10=B9,IFERROR(I10/I9-1,""),"")</x:f>
        <x:v>0.12251753779270835</x:v>
      </x:c>
      <x:c r="K10" s="36" t="str">
        <x:v>EBIT</x:v>
      </x:c>
      <x:c r="L10" s="36" t="str">
        <x:v>Complete public proxy set</x:v>
      </x:c>
      <x:c r="M10" s="37" t="str">
        <x:v>https://companiesmarketcap.com/microsoft/marketcap/</x:v>
      </x:c>
      <x:c r="N10" s="37" t="str">
        <x:v>https://companiesmarketcap.com/microsoft/revenue/</x:v>
      </x:c>
      <x:c r="O10" s="37" t="str">
        <x:v>https://companiesmarketcap.com/microsoft/earnings/</x:v>
      </x:c>
      <x:c r="P10" s="47" t="str">
        <x:v>Core</x:v>
      </x:c>
    </x:row>
    <x:row r="11">
      <x:c r="A11" s="40" t="n">
        <x:v>2025</x:v>
      </x:c>
      <x:c r="B11" s="26" t="str">
        <x:v>Microsoft</x:v>
      </x:c>
      <x:c r="C11" s="26" t="str">
        <x:v>MSFT</x:v>
      </x:c>
      <x:c r="D11" s="26" t="str">
        <x:v>Public</x:v>
      </x:c>
      <x:c r="E11" s="42" t="n">
        <x:v>3625</x:v>
      </x:c>
      <x:c r="F11" s="43" t="n">
        <x:f>IF(B11=B10,IFERROR(E11/E10-1,""),"")</x:f>
        <x:v>0.1328125</x:v>
      </x:c>
      <x:c r="G11" s="42" t="n">
        <x:v>305.45</x:v>
      </x:c>
      <x:c r="H11" s="43" t="n">
        <x:f>IF(B11=B10,IFERROR(G11/G10-1,""),"")</x:f>
        <x:v>0.16673032849503433</x:v>
      </x:c>
      <x:c r="I11" s="42" t="n">
        <x:v>146.54</x:v>
      </x:c>
      <x:c r="J11" s="43" t="n">
        <x:f>IF(B11=B10,IFERROR(I11/I10-1,""),"")</x:f>
        <x:v>0.28985124548895347</x:v>
      </x:c>
      <x:c r="K11" s="36" t="str">
        <x:v>EBIT</x:v>
      </x:c>
      <x:c r="L11" s="36" t="str">
        <x:v>Complete public proxy set</x:v>
      </x:c>
      <x:c r="M11" s="37" t="str">
        <x:v>https://companiesmarketcap.com/microsoft/marketcap/</x:v>
      </x:c>
      <x:c r="N11" s="37" t="str">
        <x:v>https://companiesmarketcap.com/microsoft/revenue/</x:v>
      </x:c>
      <x:c r="O11" s="37" t="str">
        <x:v>https://companiesmarketcap.com/microsoft/earnings/</x:v>
      </x:c>
      <x:c r="P11" s="47" t="str">
        <x:v>Core</x:v>
      </x:c>
    </x:row>
    <x:row r="12">
      <x:c r="A12" s="40" t="n">
        <x:v>2022</x:v>
      </x:c>
      <x:c r="B12" s="26" t="str">
        <x:v>Alphabet (Google)</x:v>
      </x:c>
      <x:c r="C12" s="26" t="str">
        <x:v>GOOG/GOOGL</x:v>
      </x:c>
      <x:c r="D12" s="26" t="str">
        <x:v>Public</x:v>
      </x:c>
      <x:c r="E12" s="42" t="n">
        <x:v>1145</x:v>
      </x:c>
      <x:c r="F12" s="43" t="str">
        <x:f>IF(B12=B11,IFERROR(E12/E11-1,""),"")</x:f>
      </x:c>
      <x:c r="G12" s="42" t="n">
        <x:v>282.84</x:v>
      </x:c>
      <x:c r="H12" s="43" t="str">
        <x:f>IF(B12=B11,IFERROR(G12/G11-1,""),"")</x:f>
      </x:c>
      <x:c r="I12" s="42" t="n">
        <x:v>71.03</x:v>
      </x:c>
      <x:c r="J12" s="43" t="str">
        <x:f>IF(B12=B11,IFERROR(I12/I11-1,""),"")</x:f>
      </x:c>
      <x:c r="K12" s="36" t="str">
        <x:v>Pretax income</x:v>
      </x:c>
      <x:c r="L12" s="36" t="str">
        <x:v>Complete public proxy set</x:v>
      </x:c>
      <x:c r="M12" s="37" t="str">
        <x:v>https://companiesmarketcap.com/alphabet-google/marketcap/</x:v>
      </x:c>
      <x:c r="N12" s="37" t="str">
        <x:v>https://companiesmarketcap.com/alphabet-google/revenue/</x:v>
      </x:c>
      <x:c r="O12" s="37" t="str">
        <x:v>https://companiesmarketcap.com/alphabet-google/earnings/</x:v>
      </x:c>
      <x:c r="P12" s="47" t="str">
        <x:v>Core</x:v>
      </x:c>
    </x:row>
    <x:row r="13">
      <x:c r="A13" s="40" t="n">
        <x:v>2023</x:v>
      </x:c>
      <x:c r="B13" s="26" t="str">
        <x:v>Alphabet (Google)</x:v>
      </x:c>
      <x:c r="C13" s="26" t="str">
        <x:v>GOOG/GOOGL</x:v>
      </x:c>
      <x:c r="D13" s="26" t="str">
        <x:v>Public</x:v>
      </x:c>
      <x:c r="E13" s="42" t="n">
        <x:v>1756</x:v>
      </x:c>
      <x:c r="F13" s="43" t="n">
        <x:f>IF(B13=B12,IFERROR(E13/E12-1,""),"")</x:f>
        <x:v>0.5336244541484716</x:v>
      </x:c>
      <x:c r="G13" s="42" t="n">
        <x:v>307.39</x:v>
      </x:c>
      <x:c r="H13" s="43" t="n">
        <x:f>IF(B13=B12,IFERROR(G13/G12-1,""),"")</x:f>
        <x:v>0.08679818978928022</x:v>
      </x:c>
      <x:c r="I13" s="42" t="n">
        <x:v>85.72</x:v>
      </x:c>
      <x:c r="J13" s="43" t="n">
        <x:f>IF(B13=B12,IFERROR(I13/I12-1,""),"")</x:f>
        <x:v>0.20681402224412215</x:v>
      </x:c>
      <x:c r="K13" s="36" t="str">
        <x:v>Pretax income</x:v>
      </x:c>
      <x:c r="L13" s="36" t="str">
        <x:v>Complete public proxy set</x:v>
      </x:c>
      <x:c r="M13" s="37" t="str">
        <x:v>https://companiesmarketcap.com/alphabet-google/marketcap/</x:v>
      </x:c>
      <x:c r="N13" s="37" t="str">
        <x:v>https://companiesmarketcap.com/alphabet-google/revenue/</x:v>
      </x:c>
      <x:c r="O13" s="37" t="str">
        <x:v>https://companiesmarketcap.com/alphabet-google/earnings/</x:v>
      </x:c>
      <x:c r="P13" s="47" t="str">
        <x:v>Core</x:v>
      </x:c>
    </x:row>
    <x:row r="14">
      <x:c r="A14" s="40" t="n">
        <x:v>2024</x:v>
      </x:c>
      <x:c r="B14" s="26" t="str">
        <x:v>Alphabet (Google)</x:v>
      </x:c>
      <x:c r="C14" s="26" t="str">
        <x:v>GOOG/GOOGL</x:v>
      </x:c>
      <x:c r="D14" s="26" t="str">
        <x:v>Public</x:v>
      </x:c>
      <x:c r="E14" s="42" t="n">
        <x:v>2365</x:v>
      </x:c>
      <x:c r="F14" s="43" t="n">
        <x:f>IF(B14=B13,IFERROR(E14/E13-1,""),"")</x:f>
        <x:v>0.34681093394077456</x:v>
      </x:c>
      <x:c r="G14" s="42" t="n">
        <x:v>350.01</x:v>
      </x:c>
      <x:c r="H14" s="43" t="n">
        <x:f>IF(B14=B13,IFERROR(G14/G13-1,""),"")</x:f>
        <x:v>0.13865122482839398</x:v>
      </x:c>
      <x:c r="I14" s="42" t="n">
        <x:v>120.08</x:v>
      </x:c>
      <x:c r="J14" s="43" t="n">
        <x:f>IF(B14=B13,IFERROR(I14/I13-1,""),"")</x:f>
        <x:v>0.40083994400373313</x:v>
      </x:c>
      <x:c r="K14" s="36" t="str">
        <x:v>Pretax income</x:v>
      </x:c>
      <x:c r="L14" s="36" t="str">
        <x:v>Complete public proxy set</x:v>
      </x:c>
      <x:c r="M14" s="37" t="str">
        <x:v>https://companiesmarketcap.com/alphabet-google/marketcap/</x:v>
      </x:c>
      <x:c r="N14" s="37" t="str">
        <x:v>https://companiesmarketcap.com/alphabet-google/revenue/</x:v>
      </x:c>
      <x:c r="O14" s="37" t="str">
        <x:v>https://companiesmarketcap.com/alphabet-google/earnings/</x:v>
      </x:c>
      <x:c r="P14" s="47" t="str">
        <x:v>Core</x:v>
      </x:c>
    </x:row>
    <x:row r="15">
      <x:c r="A15" s="40" t="n">
        <x:v>2025</x:v>
      </x:c>
      <x:c r="B15" s="26" t="str">
        <x:v>Alphabet (Google)</x:v>
      </x:c>
      <x:c r="C15" s="26" t="str">
        <x:v>GOOG/GOOGL</x:v>
      </x:c>
      <x:c r="D15" s="26" t="str">
        <x:v>Public</x:v>
      </x:c>
      <x:c r="E15" s="42" t="n">
        <x:v>3802</x:v>
      </x:c>
      <x:c r="F15" s="43" t="n">
        <x:f>IF(B15=B14,IFERROR(E15/E14-1,""),"")</x:f>
        <x:v>0.6076109936575054</x:v>
      </x:c>
      <x:c r="G15" s="42" t="n">
        <x:v>402.83</x:v>
      </x:c>
      <x:c r="H15" s="43" t="n">
        <x:f>IF(B15=B14,IFERROR(G15/G14-1,""),"")</x:f>
        <x:v>0.1509099740007429</x:v>
      </x:c>
      <x:c r="I15" s="42" t="n">
        <x:v>159.56</x:v>
      </x:c>
      <x:c r="J15" s="43" t="n">
        <x:f>IF(B15=B14,IFERROR(I15/I14-1,""),"")</x:f>
        <x:v>0.3287808127914724</x:v>
      </x:c>
      <x:c r="K15" s="36" t="str">
        <x:v>Pretax income</x:v>
      </x:c>
      <x:c r="L15" s="36" t="str">
        <x:v>Complete public proxy set</x:v>
      </x:c>
      <x:c r="M15" s="37" t="str">
        <x:v>https://companiesmarketcap.com/alphabet-google/marketcap/</x:v>
      </x:c>
      <x:c r="N15" s="37" t="str">
        <x:v>https://companiesmarketcap.com/alphabet-google/revenue/</x:v>
      </x:c>
      <x:c r="O15" s="37" t="str">
        <x:v>https://companiesmarketcap.com/alphabet-google/earnings/</x:v>
      </x:c>
      <x:c r="P15" s="47" t="str">
        <x:v>Core</x:v>
      </x:c>
    </x:row>
    <x:row r="16">
      <x:c r="A16" s="40" t="n">
        <x:v>2022</x:v>
      </x:c>
      <x:c r="B16" s="26" t="str">
        <x:v>Amazon</x:v>
      </x:c>
      <x:c r="C16" s="26" t="str">
        <x:v>AMZN</x:v>
      </x:c>
      <x:c r="D16" s="26" t="str">
        <x:v>Public</x:v>
      </x:c>
      <x:c r="E16" s="42" t="n">
        <x:v>856.94</x:v>
      </x:c>
      <x:c r="F16" s="43" t="str">
        <x:f>IF(B16=B15,IFERROR(E16/E15-1,""),"")</x:f>
      </x:c>
      <x:c r="G16" s="42" t="n">
        <x:v>513.98</x:v>
      </x:c>
      <x:c r="H16" s="43" t="str">
        <x:f>IF(B16=B15,IFERROR(G16/G15-1,""),"")</x:f>
      </x:c>
      <x:c r="I16" s="42" t="n">
        <x:v>-3.57</x:v>
      </x:c>
      <x:c r="J16" s="43" t="str">
        <x:f>IF(B16=B15,IFERROR(I16/I15-1,""),"")</x:f>
      </x:c>
      <x:c r="K16" s="36" t="str">
        <x:v>Pretax income</x:v>
      </x:c>
      <x:c r="L16" s="36" t="str">
        <x:v>Complete public proxy set</x:v>
      </x:c>
      <x:c r="M16" s="37" t="str">
        <x:v>https://companiesmarketcap.com/amazon/marketcap/</x:v>
      </x:c>
      <x:c r="N16" s="37" t="str">
        <x:v>https://companiesmarketcap.com/amazon/revenue/</x:v>
      </x:c>
      <x:c r="O16" s="37" t="str">
        <x:v>https://companiesmarketcap.com/amazon/earnings/</x:v>
      </x:c>
      <x:c r="P16" s="47" t="str">
        <x:v>Core</x:v>
      </x:c>
    </x:row>
    <x:row r="17">
      <x:c r="A17" s="40" t="n">
        <x:v>2023</x:v>
      </x:c>
      <x:c r="B17" s="26" t="str">
        <x:v>Amazon</x:v>
      </x:c>
      <x:c r="C17" s="26" t="str">
        <x:v>AMZN</x:v>
      </x:c>
      <x:c r="D17" s="26" t="str">
        <x:v>Public</x:v>
      </x:c>
      <x:c r="E17" s="42" t="n">
        <x:v>1570</x:v>
      </x:c>
      <x:c r="F17" s="43" t="n">
        <x:f>IF(B17=B16,IFERROR(E17/E16-1,""),"")</x:f>
        <x:v>0.8321002637290824</x:v>
      </x:c>
      <x:c r="G17" s="42" t="n">
        <x:v>574.78</x:v>
      </x:c>
      <x:c r="H17" s="43" t="n">
        <x:f>IF(B17=B16,IFERROR(G17/G16-1,""),"")</x:f>
        <x:v>0.11829254056578065</x:v>
      </x:c>
      <x:c r="I17" s="42" t="n">
        <x:v>40.73</x:v>
      </x:c>
      <x:c r="J17" s="43" t="n">
        <x:f>IF(B17=B16,IFERROR(I17/I16-1,""),"")</x:f>
        <x:v>-12.408963585434174</x:v>
      </x:c>
      <x:c r="K17" s="36" t="str">
        <x:v>Pretax income</x:v>
      </x:c>
      <x:c r="L17" s="36" t="str">
        <x:v>Complete public proxy set</x:v>
      </x:c>
      <x:c r="M17" s="37" t="str">
        <x:v>https://companiesmarketcap.com/amazon/marketcap/</x:v>
      </x:c>
      <x:c r="N17" s="37" t="str">
        <x:v>https://companiesmarketcap.com/amazon/revenue/</x:v>
      </x:c>
      <x:c r="O17" s="37" t="str">
        <x:v>https://companiesmarketcap.com/amazon/earnings/</x:v>
      </x:c>
      <x:c r="P17" s="47" t="str">
        <x:v>Core</x:v>
      </x:c>
    </x:row>
    <x:row r="18">
      <x:c r="A18" s="40" t="n">
        <x:v>2024</x:v>
      </x:c>
      <x:c r="B18" s="26" t="str">
        <x:v>Amazon</x:v>
      </x:c>
      <x:c r="C18" s="26" t="str">
        <x:v>AMZN</x:v>
      </x:c>
      <x:c r="D18" s="26" t="str">
        <x:v>Public</x:v>
      </x:c>
      <x:c r="E18" s="42" t="n">
        <x:v>2352</x:v>
      </x:c>
      <x:c r="F18" s="43" t="n">
        <x:f>IF(B18=B17,IFERROR(E18/E17-1,""),"")</x:f>
        <x:v>0.4980891719745222</x:v>
      </x:c>
      <x:c r="G18" s="42" t="n">
        <x:v>637.95</x:v>
      </x:c>
      <x:c r="H18" s="43" t="n">
        <x:f>IF(B18=B17,IFERROR(G18/G17-1,""),"")</x:f>
        <x:v>0.10990291937784913</x:v>
      </x:c>
      <x:c r="I18" s="42" t="n">
        <x:v>71.02</x:v>
      </x:c>
      <x:c r="J18" s="43" t="n">
        <x:f>IF(B18=B17,IFERROR(I18/I17-1,""),"")</x:f>
        <x:v>0.743677878713479</x:v>
      </x:c>
      <x:c r="K18" s="36" t="str">
        <x:v>Pretax income</x:v>
      </x:c>
      <x:c r="L18" s="36" t="str">
        <x:v>Complete public proxy set</x:v>
      </x:c>
      <x:c r="M18" s="37" t="str">
        <x:v>https://companiesmarketcap.com/amazon/marketcap/</x:v>
      </x:c>
      <x:c r="N18" s="37" t="str">
        <x:v>https://companiesmarketcap.com/amazon/revenue/</x:v>
      </x:c>
      <x:c r="O18" s="37" t="str">
        <x:v>https://companiesmarketcap.com/amazon/earnings/</x:v>
      </x:c>
      <x:c r="P18" s="47" t="str">
        <x:v>Core</x:v>
      </x:c>
    </x:row>
    <x:row r="19">
      <x:c r="A19" s="40" t="n">
        <x:v>2025</x:v>
      </x:c>
      <x:c r="B19" s="26" t="str">
        <x:v>Amazon</x:v>
      </x:c>
      <x:c r="C19" s="26" t="str">
        <x:v>AMZN</x:v>
      </x:c>
      <x:c r="D19" s="26" t="str">
        <x:v>Public</x:v>
      </x:c>
      <x:c r="E19" s="42" t="n">
        <x:v>2485</x:v>
      </x:c>
      <x:c r="F19" s="43" t="n">
        <x:f>IF(B19=B18,IFERROR(E19/E18-1,""),"")</x:f>
        <x:v>0.05654761904761907</x:v>
      </x:c>
      <x:c r="G19" s="42" t="n">
        <x:v>716.92</x:v>
      </x:c>
      <x:c r="H19" s="43" t="n">
        <x:f>IF(B19=B18,IFERROR(G19/G18-1,""),"")</x:f>
        <x:v>0.12378713065287239</x:v>
      </x:c>
      <x:c r="I19" s="42" t="n">
        <x:v>99.58</x:v>
      </x:c>
      <x:c r="J19" s="43" t="n">
        <x:f>IF(B19=B18,IFERROR(I19/I18-1,""),"")</x:f>
        <x:v>0.4021402421853</x:v>
      </x:c>
      <x:c r="K19" s="36" t="str">
        <x:v>Pretax income</x:v>
      </x:c>
      <x:c r="L19" s="36" t="str">
        <x:v>Complete public proxy set</x:v>
      </x:c>
      <x:c r="M19" s="37" t="str">
        <x:v>https://companiesmarketcap.com/amazon/marketcap/</x:v>
      </x:c>
      <x:c r="N19" s="37" t="str">
        <x:v>https://companiesmarketcap.com/amazon/revenue/</x:v>
      </x:c>
      <x:c r="O19" s="37" t="str">
        <x:v>https://companiesmarketcap.com/amazon/earnings/</x:v>
      </x:c>
      <x:c r="P19" s="47" t="str">
        <x:v>Core</x:v>
      </x:c>
    </x:row>
    <x:row r="20">
      <x:c r="A20" s="40" t="n">
        <x:v>2022</x:v>
      </x:c>
      <x:c r="B20" s="26" t="str">
        <x:v>Meta Platforms</x:v>
      </x:c>
      <x:c r="C20" s="26" t="str">
        <x:v>META</x:v>
      </x:c>
      <x:c r="D20" s="26" t="str">
        <x:v>Public</x:v>
      </x:c>
      <x:c r="E20" s="42" t="n">
        <x:v>319.88</x:v>
      </x:c>
      <x:c r="F20" s="43" t="str">
        <x:f>IF(B20=B19,IFERROR(E20/E19-1,""),"")</x:f>
      </x:c>
      <x:c r="G20" s="42" t="n">
        <x:v>116.61</x:v>
      </x:c>
      <x:c r="H20" s="43" t="str">
        <x:f>IF(B20=B19,IFERROR(G20/G19-1,""),"")</x:f>
      </x:c>
      <x:c r="I20" s="42" t="n">
        <x:v>30.5</x:v>
      </x:c>
      <x:c r="J20" s="43" t="str">
        <x:f>IF(B20=B19,IFERROR(I20/I19-1,""),"")</x:f>
      </x:c>
      <x:c r="K20" s="36" t="str">
        <x:v>Pretax income</x:v>
      </x:c>
      <x:c r="L20" s="36" t="str">
        <x:v>Complete public proxy set</x:v>
      </x:c>
      <x:c r="M20" s="37" t="str">
        <x:v>https://companiesmarketcap.com/meta-platforms/marketcap/</x:v>
      </x:c>
      <x:c r="N20" s="37" t="str">
        <x:v>https://companiesmarketcap.com/meta-platforms/revenue/</x:v>
      </x:c>
      <x:c r="O20" s="37" t="str">
        <x:v>https://companiesmarketcap.com/meta-platforms/earnings/</x:v>
      </x:c>
      <x:c r="P20" s="47" t="str">
        <x:v>Core</x:v>
      </x:c>
    </x:row>
    <x:row r="21">
      <x:c r="A21" s="40" t="n">
        <x:v>2023</x:v>
      </x:c>
      <x:c r="B21" s="26" t="str">
        <x:v>Meta Platforms</x:v>
      </x:c>
      <x:c r="C21" s="26" t="str">
        <x:v>META</x:v>
      </x:c>
      <x:c r="D21" s="26" t="str">
        <x:v>Public</x:v>
      </x:c>
      <x:c r="E21" s="42" t="n">
        <x:v>909.62</x:v>
      </x:c>
      <x:c r="F21" s="43" t="n">
        <x:f>IF(B21=B20,IFERROR(E21/E20-1,""),"")</x:f>
        <x:v>1.8436288608228084</x:v>
      </x:c>
      <x:c r="G21" s="42" t="n">
        <x:v>134.9</x:v>
      </x:c>
      <x:c r="H21" s="43" t="n">
        <x:f>IF(B21=B20,IFERROR(G21/G20-1,""),"")</x:f>
        <x:v>0.15684761169711003</x:v>
      </x:c>
      <x:c r="I21" s="42" t="n">
        <x:v>49.99</x:v>
      </x:c>
      <x:c r="J21" s="43" t="n">
        <x:f>IF(B21=B20,IFERROR(I21/I20-1,""),"")</x:f>
        <x:v>0.639016393442623</x:v>
      </x:c>
      <x:c r="K21" s="36" t="str">
        <x:v>Pretax income</x:v>
      </x:c>
      <x:c r="L21" s="36" t="str">
        <x:v>Complete public proxy set</x:v>
      </x:c>
      <x:c r="M21" s="37" t="str">
        <x:v>https://companiesmarketcap.com/meta-platforms/marketcap/</x:v>
      </x:c>
      <x:c r="N21" s="37" t="str">
        <x:v>https://companiesmarketcap.com/meta-platforms/revenue/</x:v>
      </x:c>
      <x:c r="O21" s="37" t="str">
        <x:v>https://companiesmarketcap.com/meta-platforms/earnings/</x:v>
      </x:c>
      <x:c r="P21" s="47" t="str">
        <x:v>Core</x:v>
      </x:c>
    </x:row>
    <x:row r="22">
      <x:c r="A22" s="40" t="n">
        <x:v>2024</x:v>
      </x:c>
      <x:c r="B22" s="26" t="str">
        <x:v>Meta Platforms</x:v>
      </x:c>
      <x:c r="C22" s="26" t="str">
        <x:v>META</x:v>
      </x:c>
      <x:c r="D22" s="26" t="str">
        <x:v>Public</x:v>
      </x:c>
      <x:c r="E22" s="42" t="n">
        <x:v>1514</x:v>
      </x:c>
      <x:c r="F22" s="43" t="n">
        <x:f>IF(B22=B21,IFERROR(E22/E21-1,""),"")</x:f>
        <x:v>0.664431300982828</x:v>
      </x:c>
      <x:c r="G22" s="42" t="n">
        <x:v>164.5</x:v>
      </x:c>
      <x:c r="H22" s="43" t="n">
        <x:f>IF(B22=B21,IFERROR(G22/G21-1,""),"")</x:f>
        <x:v>0.21942179392142314</x:v>
      </x:c>
      <x:c r="I22" s="42" t="n">
        <x:v>71.37</x:v>
      </x:c>
      <x:c r="J22" s="43" t="n">
        <x:f>IF(B22=B21,IFERROR(I22/I21-1,""),"")</x:f>
        <x:v>0.4276855371074215</x:v>
      </x:c>
      <x:c r="K22" s="36" t="str">
        <x:v>Pretax income</x:v>
      </x:c>
      <x:c r="L22" s="36" t="str">
        <x:v>Complete public proxy set</x:v>
      </x:c>
      <x:c r="M22" s="37" t="str">
        <x:v>https://companiesmarketcap.com/meta-platforms/marketcap/</x:v>
      </x:c>
      <x:c r="N22" s="37" t="str">
        <x:v>https://companiesmarketcap.com/meta-platforms/revenue/</x:v>
      </x:c>
      <x:c r="O22" s="37" t="str">
        <x:v>https://companiesmarketcap.com/meta-platforms/earnings/</x:v>
      </x:c>
      <x:c r="P22" s="47" t="str">
        <x:v>Core</x:v>
      </x:c>
    </x:row>
    <x:row r="23">
      <x:c r="A23" s="40" t="n">
        <x:v>2025</x:v>
      </x:c>
      <x:c r="B23" s="26" t="str">
        <x:v>Meta Platforms</x:v>
      </x:c>
      <x:c r="C23" s="26" t="str">
        <x:v>META</x:v>
      </x:c>
      <x:c r="D23" s="26" t="str">
        <x:v>Public</x:v>
      </x:c>
      <x:c r="E23" s="42" t="n">
        <x:v>1671</x:v>
      </x:c>
      <x:c r="F23" s="43" t="n">
        <x:f>IF(B23=B22,IFERROR(E23/E22-1,""),"")</x:f>
        <x:v>0.1036988110964332</x:v>
      </x:c>
      <x:c r="G23" s="42" t="n">
        <x:v>200.97</x:v>
      </x:c>
      <x:c r="H23" s="43" t="n">
        <x:f>IF(B23=B22,IFERROR(G23/G22-1,""),"")</x:f>
        <x:v>0.22170212765957453</x:v>
      </x:c>
      <x:c r="I23" s="42" t="n">
        <x:v>87.09</x:v>
      </x:c>
      <x:c r="J23" s="43" t="n">
        <x:f>IF(B23=B22,IFERROR(I23/I22-1,""),"")</x:f>
        <x:v>0.22026061370323657</x:v>
      </x:c>
      <x:c r="K23" s="36" t="str">
        <x:v>Pretax income</x:v>
      </x:c>
      <x:c r="L23" s="36" t="str">
        <x:v>Complete public proxy set</x:v>
      </x:c>
      <x:c r="M23" s="37" t="str">
        <x:v>https://companiesmarketcap.com/meta-platforms/marketcap/</x:v>
      </x:c>
      <x:c r="N23" s="37" t="str">
        <x:v>https://companiesmarketcap.com/meta-platforms/revenue/</x:v>
      </x:c>
      <x:c r="O23" s="37" t="str">
        <x:v>https://companiesmarketcap.com/meta-platforms/earnings/</x:v>
      </x:c>
      <x:c r="P23" s="47" t="str">
        <x:v>Core</x:v>
      </x:c>
    </x:row>
    <x:row r="24">
      <x:c r="A24" s="40" t="n">
        <x:v>2022</x:v>
      </x:c>
      <x:c r="B24" s="26" t="str">
        <x:v>OpenAI</x:v>
      </x:c>
      <x:c r="C24" s="26" t="str">
        <x:v>Private</x:v>
      </x:c>
      <x:c r="D24" s="26" t="str">
        <x:v>Private</x:v>
      </x:c>
      <x:c r="E24" s="42" t="n">
        <x:v>20</x:v>
      </x:c>
      <x:c r="F24" s="43" t="str">
        <x:f>IF(B24=B23,IFERROR(E24/E23-1,""),"")</x:f>
      </x:c>
      <x:c r="G24" s="42"/>
      <x:c r="H24" s="43" t="str">
        <x:f>IF(B24=B23,IFERROR(G24/G23-1,""),"")</x:f>
      </x:c>
      <x:c r="I24" s="42"/>
      <x:c r="J24" s="43" t="str">
        <x:f>IF(B24=B23,IFERROR(I24/I23-1,""),"")</x:f>
      </x:c>
      <x:c r="K24" s="36" t="str">
        <x:v>Profit not publicly disclosed</x:v>
      </x:c>
      <x:c r="L24" s="36" t="str">
        <x:v>Private estimate; no audited profit</x:v>
      </x:c>
      <x:c r="M24" s="37" t="str">
        <x:v>https://www.reuters.com/technology/openai-hits-500-billion-valuation-after-share-sale-source-says-2025-10-02/</x:v>
      </x:c>
      <x:c r="N24" s="37" t="str">
        <x:v>https://www.reuters.com/technology/artificial-intelligence/openai-hits-12-billion-annualized-revenue-information-reports-2025-07-30/</x:v>
      </x:c>
      <x:c r="O24" s="37" t="str"/>
      <x:c r="P24" s="47" t="str">
        <x:v>Supplementary</x:v>
      </x:c>
    </x:row>
    <x:row r="25">
      <x:c r="A25" s="40" t="n">
        <x:v>2023</x:v>
      </x:c>
      <x:c r="B25" s="26" t="str">
        <x:v>OpenAI</x:v>
      </x:c>
      <x:c r="C25" s="26" t="str">
        <x:v>Private</x:v>
      </x:c>
      <x:c r="D25" s="26" t="str">
        <x:v>Private</x:v>
      </x:c>
      <x:c r="E25" s="42" t="n">
        <x:v>29</x:v>
      </x:c>
      <x:c r="F25" s="43" t="n">
        <x:f>IF(B25=B24,IFERROR(E25/E24-1,""),"")</x:f>
        <x:v>0.44999999999999996</x:v>
      </x:c>
      <x:c r="G25" s="42"/>
      <x:c r="H25" s="43" t="str">
        <x:f>IF(B25=B24,IFERROR(G25/G24-1,""),"")</x:f>
      </x:c>
      <x:c r="I25" s="42"/>
      <x:c r="J25" s="43" t="str">
        <x:f>IF(B25=B24,IFERROR(I25/I24-1,""),"")</x:f>
      </x:c>
      <x:c r="K25" s="36" t="str">
        <x:v>Profit not publicly disclosed</x:v>
      </x:c>
      <x:c r="L25" s="36" t="str">
        <x:v>Private estimate; no audited profit</x:v>
      </x:c>
      <x:c r="M25" s="37" t="str">
        <x:v>https://www.reuters.com/technology/openai-hits-500-billion-valuation-after-share-sale-source-says-2025-10-02/</x:v>
      </x:c>
      <x:c r="N25" s="37" t="str">
        <x:v>https://www.reuters.com/technology/artificial-intelligence/openai-hits-12-billion-annualized-revenue-information-reports-2025-07-30/</x:v>
      </x:c>
      <x:c r="O25" s="37" t="str"/>
      <x:c r="P25" s="47" t="str">
        <x:v>Supplementary</x:v>
      </x:c>
    </x:row>
    <x:row r="26">
      <x:c r="A26" s="40" t="n">
        <x:v>2024</x:v>
      </x:c>
      <x:c r="B26" s="26" t="str">
        <x:v>OpenAI</x:v>
      </x:c>
      <x:c r="C26" s="26" t="str">
        <x:v>Private</x:v>
      </x:c>
      <x:c r="D26" s="26" t="str">
        <x:v>Private</x:v>
      </x:c>
      <x:c r="E26" s="42" t="n">
        <x:v>157</x:v>
      </x:c>
      <x:c r="F26" s="43" t="n">
        <x:f>IF(B26=B25,IFERROR(E26/E25-1,""),"")</x:f>
        <x:v>4.413793103448276</x:v>
      </x:c>
      <x:c r="G26" s="42" t="n">
        <x:v>3.7</x:v>
      </x:c>
      <x:c r="H26" s="43" t="str">
        <x:f>IF(B26=B25,IFERROR(G26/G25-1,""),"")</x:f>
      </x:c>
      <x:c r="I26" s="42"/>
      <x:c r="J26" s="43" t="str">
        <x:f>IF(B26=B25,IFERROR(I26/I25-1,""),"")</x:f>
      </x:c>
      <x:c r="K26" s="36" t="str">
        <x:v>Profit not publicly disclosed</x:v>
      </x:c>
      <x:c r="L26" s="36" t="str">
        <x:v>Private estimate; no audited profit</x:v>
      </x:c>
      <x:c r="M26" s="37" t="str">
        <x:v>https://www.reuters.com/technology/openai-hits-500-billion-valuation-after-share-sale-source-says-2025-10-02/</x:v>
      </x:c>
      <x:c r="N26" s="37" t="str">
        <x:v>https://www.reuters.com/technology/artificial-intelligence/openai-hits-12-billion-annualized-revenue-information-reports-2025-07-30/</x:v>
      </x:c>
      <x:c r="O26" s="37" t="str"/>
      <x:c r="P26" s="47" t="str">
        <x:v>Supplementary</x:v>
      </x:c>
    </x:row>
    <x:row r="27">
      <x:c r="A27" s="40" t="n">
        <x:v>2025</x:v>
      </x:c>
      <x:c r="B27" s="26" t="str">
        <x:v>OpenAI</x:v>
      </x:c>
      <x:c r="C27" s="26" t="str">
        <x:v>Private</x:v>
      </x:c>
      <x:c r="D27" s="26" t="str">
        <x:v>Private</x:v>
      </x:c>
      <x:c r="E27" s="42" t="n">
        <x:v>500</x:v>
      </x:c>
      <x:c r="F27" s="43" t="n">
        <x:f>IF(B27=B26,IFERROR(E27/E26-1,""),"")</x:f>
        <x:v>2.1847133757961785</x:v>
      </x:c>
      <x:c r="G27" s="42" t="n">
        <x:v>12</x:v>
      </x:c>
      <x:c r="H27" s="43" t="n">
        <x:f>IF(B27=B26,IFERROR(G27/G26-1,""),"")</x:f>
        <x:v>2.243243243243243</x:v>
      </x:c>
      <x:c r="I27" s="42"/>
      <x:c r="J27" s="43" t="str">
        <x:f>IF(B27=B26,IFERROR(I27/I26-1,""),"")</x:f>
      </x:c>
      <x:c r="K27" s="36" t="str">
        <x:v>Profit not publicly disclosed</x:v>
      </x:c>
      <x:c r="L27" s="36" t="str">
        <x:v>Private estimate; no audited profit</x:v>
      </x:c>
      <x:c r="M27" s="37" t="str">
        <x:v>https://www.reuters.com/technology/openai-hits-500-billion-valuation-after-share-sale-source-says-2025-10-02/</x:v>
      </x:c>
      <x:c r="N27" s="37" t="str">
        <x:v>https://www.reuters.com/technology/artificial-intelligence/openai-hits-12-billion-annualized-revenue-information-reports-2025-07-30/</x:v>
      </x:c>
      <x:c r="O27" s="37" t="str"/>
      <x:c r="P27" s="47" t="str">
        <x:v>Supplementary</x:v>
      </x:c>
    </x:row>
    <x:row r="28">
      <x:c r="A28" s="40" t="n">
        <x:v>2022</x:v>
      </x:c>
      <x:c r="B28" s="26" t="str">
        <x:v>Anthropic</x:v>
      </x:c>
      <x:c r="C28" s="26" t="str">
        <x:v>Private</x:v>
      </x:c>
      <x:c r="D28" s="26" t="str">
        <x:v>Private</x:v>
      </x:c>
      <x:c r="E28" s="42"/>
      <x:c r="F28" s="43" t="str">
        <x:f>IF(B28=B27,IFERROR(E28/E27-1,""),"")</x:f>
      </x:c>
      <x:c r="G28" s="42"/>
      <x:c r="H28" s="43" t="str">
        <x:f>IF(B28=B27,IFERROR(G28/G27-1,""),"")</x:f>
      </x:c>
      <x:c r="I28" s="42"/>
      <x:c r="J28" s="43" t="str">
        <x:f>IF(B28=B27,IFERROR(I28/I27-1,""),"")</x:f>
      </x:c>
      <x:c r="K28" s="36" t="str">
        <x:v>Profit not publicly disclosed</x:v>
      </x:c>
      <x:c r="L28" s="36" t="str">
        <x:v>Private; data unavailable</x:v>
      </x:c>
      <x:c r="M28" s="37" t="str">
        <x:v>https://www.reuters.com/business/anthropics-valuation-more-than-doubles-183-billion-after-13-billion-fundraise-2025-09-02/</x:v>
      </x:c>
      <x:c r="N28" s="37" t="str">
        <x:v>https://www.reuters.com/business/anthropics-valuation-more-than-doubles-183-billion-after-13-billion-fundraise-2025-09-02/</x:v>
      </x:c>
      <x:c r="O28" s="37" t="str"/>
      <x:c r="P28" s="47" t="str">
        <x:v>Supplementary</x:v>
      </x:c>
    </x:row>
    <x:row r="29">
      <x:c r="A29" s="40" t="n">
        <x:v>2023</x:v>
      </x:c>
      <x:c r="B29" s="26" t="str">
        <x:v>Anthropic</x:v>
      </x:c>
      <x:c r="C29" s="26" t="str">
        <x:v>Private</x:v>
      </x:c>
      <x:c r="D29" s="26" t="str">
        <x:v>Private</x:v>
      </x:c>
      <x:c r="E29" s="42" t="n">
        <x:v>18.4</x:v>
      </x:c>
      <x:c r="F29" s="43" t="str">
        <x:f>IF(B29=B28,IFERROR(E29/E28-1,""),"")</x:f>
      </x:c>
      <x:c r="G29" s="42"/>
      <x:c r="H29" s="43" t="str">
        <x:f>IF(B29=B28,IFERROR(G29/G28-1,""),"")</x:f>
      </x:c>
      <x:c r="I29" s="42"/>
      <x:c r="J29" s="43" t="str">
        <x:f>IF(B29=B28,IFERROR(I29/I28-1,""),"")</x:f>
      </x:c>
      <x:c r="K29" s="36" t="str">
        <x:v>Profit not publicly disclosed</x:v>
      </x:c>
      <x:c r="L29" s="36" t="str">
        <x:v>Private estimate; no audited profit</x:v>
      </x:c>
      <x:c r="M29" s="37" t="str">
        <x:v>https://www.reuters.com/business/anthropics-valuation-more-than-doubles-183-billion-after-13-billion-fundraise-2025-09-02/</x:v>
      </x:c>
      <x:c r="N29" s="37" t="str">
        <x:v>https://www.reuters.com/business/anthropics-valuation-more-than-doubles-183-billion-after-13-billion-fundraise-2025-09-02/</x:v>
      </x:c>
      <x:c r="O29" s="37" t="str"/>
      <x:c r="P29" s="47" t="str">
        <x:v>Supplementary</x:v>
      </x:c>
    </x:row>
    <x:row r="30">
      <x:c r="A30" s="40" t="n">
        <x:v>2024</x:v>
      </x:c>
      <x:c r="B30" s="26" t="str">
        <x:v>Anthropic</x:v>
      </x:c>
      <x:c r="C30" s="26" t="str">
        <x:v>Private</x:v>
      </x:c>
      <x:c r="D30" s="26" t="str">
        <x:v>Private</x:v>
      </x:c>
      <x:c r="E30" s="42" t="n">
        <x:v>18.4</x:v>
      </x:c>
      <x:c r="F30" s="43" t="n">
        <x:f>IF(B30=B29,IFERROR(E30/E29-1,""),"")</x:f>
        <x:v>0</x:v>
      </x:c>
      <x:c r="G30" s="42"/>
      <x:c r="H30" s="43" t="str">
        <x:f>IF(B30=B29,IFERROR(G30/G29-1,""),"")</x:f>
      </x:c>
      <x:c r="I30" s="42"/>
      <x:c r="J30" s="43" t="str">
        <x:f>IF(B30=B29,IFERROR(I30/I29-1,""),"")</x:f>
      </x:c>
      <x:c r="K30" s="36" t="str">
        <x:v>Profit not publicly disclosed</x:v>
      </x:c>
      <x:c r="L30" s="36" t="str">
        <x:v>Private estimate; no audited profit</x:v>
      </x:c>
      <x:c r="M30" s="37" t="str">
        <x:v>https://www.reuters.com/business/anthropics-valuation-more-than-doubles-183-billion-after-13-billion-fundraise-2025-09-02/</x:v>
      </x:c>
      <x:c r="N30" s="37" t="str">
        <x:v>https://www.reuters.com/business/anthropics-valuation-more-than-doubles-183-billion-after-13-billion-fundraise-2025-09-02/</x:v>
      </x:c>
      <x:c r="O30" s="37" t="str"/>
      <x:c r="P30" s="47" t="str">
        <x:v>Supplementary</x:v>
      </x:c>
    </x:row>
    <x:row r="31">
      <x:c r="A31" s="40" t="n">
        <x:v>2025</x:v>
      </x:c>
      <x:c r="B31" s="26" t="str">
        <x:v>Anthropic</x:v>
      </x:c>
      <x:c r="C31" s="26" t="str">
        <x:v>Private</x:v>
      </x:c>
      <x:c r="D31" s="26" t="str">
        <x:v>Private</x:v>
      </x:c>
      <x:c r="E31" s="42" t="n">
        <x:v>183</x:v>
      </x:c>
      <x:c r="F31" s="43" t="n">
        <x:f>IF(B31=B30,IFERROR(E31/E30-1,""),"")</x:f>
        <x:v>8.945652173913045</x:v>
      </x:c>
      <x:c r="G31" s="42" t="n">
        <x:v>5</x:v>
      </x:c>
      <x:c r="H31" s="43" t="str">
        <x:f>IF(B31=B30,IFERROR(G31/G30-1,""),"")</x:f>
      </x:c>
      <x:c r="I31" s="42"/>
      <x:c r="J31" s="43" t="str">
        <x:f>IF(B31=B30,IFERROR(I31/I30-1,""),"")</x:f>
      </x:c>
      <x:c r="K31" s="36" t="str">
        <x:v>Profit not publicly disclosed</x:v>
      </x:c>
      <x:c r="L31" s="36" t="str">
        <x:v>Private estimate; no audited profit</x:v>
      </x:c>
      <x:c r="M31" s="37" t="str">
        <x:v>https://www.reuters.com/business/anthropics-valuation-more-than-doubles-183-billion-after-13-billion-fundraise-2025-09-02/</x:v>
      </x:c>
      <x:c r="N31" s="37" t="str">
        <x:v>https://www.reuters.com/business/anthropics-valuation-more-than-doubles-183-billion-after-13-billion-fundraise-2025-09-02/</x:v>
      </x:c>
      <x:c r="O31" s="37" t="str"/>
      <x:c r="P31" s="47" t="str">
        <x:v>Supplementary</x:v>
      </x:c>
    </x:row>
    <x:row r="32">
      <x:c r="A32" s="40" t="n">
        <x:v>2022</x:v>
      </x:c>
      <x:c r="B32" s="26" t="str">
        <x:v>Oracle</x:v>
      </x:c>
      <x:c r="C32" s="26" t="str">
        <x:v>ORCL</x:v>
      </x:c>
      <x:c r="D32" s="26" t="str">
        <x:v>Public</x:v>
      </x:c>
      <x:c r="E32" s="42" t="n">
        <x:v>220.39</x:v>
      </x:c>
      <x:c r="F32" s="43" t="str">
        <x:f>IF(B32=B31,IFERROR(E32/E31-1,""),"")</x:f>
      </x:c>
      <x:c r="G32" s="42" t="n">
        <x:v>46.07</x:v>
      </x:c>
      <x:c r="H32" s="43" t="str">
        <x:f>IF(B32=B31,IFERROR(G32/G31-1,""),"")</x:f>
      </x:c>
      <x:c r="I32" s="42" t="n">
        <x:v>12.14</x:v>
      </x:c>
      <x:c r="J32" s="43" t="str">
        <x:f>IF(B32=B31,IFERROR(I32/I31-1,""),"")</x:f>
      </x:c>
      <x:c r="K32" s="36" t="str">
        <x:v>Pretax income</x:v>
      </x:c>
      <x:c r="L32" s="36" t="str">
        <x:v>Complete public proxy set</x:v>
      </x:c>
      <x:c r="M32" s="37" t="str">
        <x:v>https://companiesmarketcap.com/oracle/marketcap/</x:v>
      </x:c>
      <x:c r="N32" s="37" t="str">
        <x:v>https://companiesmarketcap.com/oracle/revenue/</x:v>
      </x:c>
      <x:c r="O32" s="37" t="str">
        <x:v>https://companiesmarketcap.com/oracle/earnings/</x:v>
      </x:c>
      <x:c r="P32" s="47" t="str">
        <x:v>Core</x:v>
      </x:c>
    </x:row>
    <x:row r="33">
      <x:c r="A33" s="40" t="n">
        <x:v>2023</x:v>
      </x:c>
      <x:c r="B33" s="26" t="str">
        <x:v>Oracle</x:v>
      </x:c>
      <x:c r="C33" s="26" t="str">
        <x:v>ORCL</x:v>
      </x:c>
      <x:c r="D33" s="26" t="str">
        <x:v>Public</x:v>
      </x:c>
      <x:c r="E33" s="42" t="n">
        <x:v>289.81</x:v>
      </x:c>
      <x:c r="F33" s="43" t="n">
        <x:f>IF(B33=B32,IFERROR(E33/E32-1,""),"")</x:f>
        <x:v>0.3149870683787832</x:v>
      </x:c>
      <x:c r="G33" s="42" t="n">
        <x:v>51.62</x:v>
      </x:c>
      <x:c r="H33" s="43" t="n">
        <x:f>IF(B33=B32,IFERROR(G33/G32-1,""),"")</x:f>
        <x:v>0.1204688517473409</x:v>
      </x:c>
      <x:c r="I33" s="42" t="n">
        <x:v>12.25</x:v>
      </x:c>
      <x:c r="J33" s="43" t="n">
        <x:f>IF(B33=B32,IFERROR(I33/I32-1,""),"")</x:f>
        <x:v>0.00906095551894559</x:v>
      </x:c>
      <x:c r="K33" s="36" t="str">
        <x:v>Pretax income</x:v>
      </x:c>
      <x:c r="L33" s="36" t="str">
        <x:v>Complete public proxy set</x:v>
      </x:c>
      <x:c r="M33" s="37" t="str">
        <x:v>https://companiesmarketcap.com/oracle/marketcap/</x:v>
      </x:c>
      <x:c r="N33" s="37" t="str">
        <x:v>https://companiesmarketcap.com/oracle/revenue/</x:v>
      </x:c>
      <x:c r="O33" s="37" t="str">
        <x:v>https://companiesmarketcap.com/oracle/earnings/</x:v>
      </x:c>
      <x:c r="P33" s="47" t="str">
        <x:v>Core</x:v>
      </x:c>
    </x:row>
    <x:row r="34">
      <x:c r="A34" s="40" t="n">
        <x:v>2024</x:v>
      </x:c>
      <x:c r="B34" s="26" t="str">
        <x:v>Oracle</x:v>
      </x:c>
      <x:c r="C34" s="26" t="str">
        <x:v>ORCL</x:v>
      </x:c>
      <x:c r="D34" s="26" t="str">
        <x:v>Public</x:v>
      </x:c>
      <x:c r="E34" s="42" t="n">
        <x:v>472.57</x:v>
      </x:c>
      <x:c r="F34" s="43" t="n">
        <x:f>IF(B34=B33,IFERROR(E34/E33-1,""),"")</x:f>
        <x:v>0.6306200614195507</x:v>
      </x:c>
      <x:c r="G34" s="42" t="n">
        <x:v>54.93</x:v>
      </x:c>
      <x:c r="H34" s="43" t="n">
        <x:f>IF(B34=B33,IFERROR(G34/G33-1,""),"")</x:f>
        <x:v>0.06412243316543975</x:v>
      </x:c>
      <x:c r="I34" s="42" t="n">
        <x:v>16.66</x:v>
      </x:c>
      <x:c r="J34" s="43" t="n">
        <x:f>IF(B34=B33,IFERROR(I34/I33-1,""),"")</x:f>
        <x:v>0.3600000000000001</x:v>
      </x:c>
      <x:c r="K34" s="36" t="str">
        <x:v>Pretax income</x:v>
      </x:c>
      <x:c r="L34" s="36" t="str">
        <x:v>Complete public proxy set</x:v>
      </x:c>
      <x:c r="M34" s="37" t="str">
        <x:v>https://companiesmarketcap.com/oracle/marketcap/</x:v>
      </x:c>
      <x:c r="N34" s="37" t="str">
        <x:v>https://companiesmarketcap.com/oracle/revenue/</x:v>
      </x:c>
      <x:c r="O34" s="37" t="str">
        <x:v>https://companiesmarketcap.com/oracle/earnings/</x:v>
      </x:c>
      <x:c r="P34" s="47" t="str">
        <x:v>Core</x:v>
      </x:c>
    </x:row>
    <x:row r="35">
      <x:c r="A35" s="40" t="n">
        <x:v>2025</x:v>
      </x:c>
      <x:c r="B35" s="26" t="str">
        <x:v>Oracle</x:v>
      </x:c>
      <x:c r="C35" s="26" t="str">
        <x:v>ORCL</x:v>
      </x:c>
      <x:c r="D35" s="26" t="str">
        <x:v>Public</x:v>
      </x:c>
      <x:c r="E35" s="42" t="n">
        <x:v>568.85</x:v>
      </x:c>
      <x:c r="F35" s="43" t="n">
        <x:f>IF(B35=B34,IFERROR(E35/E34-1,""),"")</x:f>
        <x:v>0.20373701250608378</x:v>
      </x:c>
      <x:c r="G35" s="42" t="n">
        <x:v>61.01</x:v>
      </x:c>
      <x:c r="H35" s="43" t="n">
        <x:f>IF(B35=B34,IFERROR(G35/G34-1,""),"")</x:f>
        <x:v>0.11068632805388678</x:v>
      </x:c>
      <x:c r="I35" s="42" t="n">
        <x:v>21.21</x:v>
      </x:c>
      <x:c r="J35" s="43" t="n">
        <x:f>IF(B35=B34,IFERROR(I35/I34-1,""),"")</x:f>
        <x:v>0.27310924369747913</x:v>
      </x:c>
      <x:c r="K35" s="36" t="str">
        <x:v>Pretax income</x:v>
      </x:c>
      <x:c r="L35" s="36" t="str">
        <x:v>Complete public proxy set</x:v>
      </x:c>
      <x:c r="M35" s="37" t="str">
        <x:v>https://companiesmarketcap.com/oracle/marketcap/</x:v>
      </x:c>
      <x:c r="N35" s="37" t="str">
        <x:v>https://companiesmarketcap.com/oracle/revenue/</x:v>
      </x:c>
      <x:c r="O35" s="37" t="str">
        <x:v>https://companiesmarketcap.com/oracle/earnings/</x:v>
      </x:c>
      <x:c r="P35" s="47" t="str">
        <x:v>Core</x:v>
      </x:c>
    </x:row>
    <x:row r="36">
      <x:c r="A36" s="40" t="n">
        <x:v>2022</x:v>
      </x:c>
      <x:c r="B36" s="26" t="str">
        <x:v>Broadcom</x:v>
      </x:c>
      <x:c r="C36" s="26" t="str">
        <x:v>AVGO</x:v>
      </x:c>
      <x:c r="D36" s="26" t="str">
        <x:v>Public</x:v>
      </x:c>
      <x:c r="E36" s="42" t="n">
        <x:v>233.65</x:v>
      </x:c>
      <x:c r="F36" s="43" t="str">
        <x:f>IF(B36=B35,IFERROR(E36/E35-1,""),"")</x:f>
      </x:c>
      <x:c r="G36" s="42" t="n">
        <x:v>33.2</x:v>
      </x:c>
      <x:c r="H36" s="43" t="str">
        <x:f>IF(B36=B35,IFERROR(G36/G35-1,""),"")</x:f>
      </x:c>
      <x:c r="I36" s="42" t="n">
        <x:v>13.32</x:v>
      </x:c>
      <x:c r="J36" s="43" t="str">
        <x:f>IF(B36=B35,IFERROR(I36/I35-1,""),"")</x:f>
      </x:c>
      <x:c r="K36" s="36" t="str">
        <x:v>Pretax income</x:v>
      </x:c>
      <x:c r="L36" s="36" t="str">
        <x:v>Complete public proxy set</x:v>
      </x:c>
      <x:c r="M36" s="37" t="str">
        <x:v>https://companiesmarketcap.com/broadcom/marketcap/</x:v>
      </x:c>
      <x:c r="N36" s="37" t="str">
        <x:v>https://companiesmarketcap.com/broadcom/revenue/</x:v>
      </x:c>
      <x:c r="O36" s="37" t="str">
        <x:v>https://companiesmarketcap.com/broadcom/earnings/</x:v>
      </x:c>
      <x:c r="P36" s="47" t="str">
        <x:v>Core</x:v>
      </x:c>
    </x:row>
    <x:row r="37">
      <x:c r="A37" s="40" t="n">
        <x:v>2023</x:v>
      </x:c>
      <x:c r="B37" s="26" t="str">
        <x:v>Broadcom</x:v>
      </x:c>
      <x:c r="C37" s="26" t="str">
        <x:v>AVGO</x:v>
      </x:c>
      <x:c r="D37" s="26" t="str">
        <x:v>Public</x:v>
      </x:c>
      <x:c r="E37" s="42" t="n">
        <x:v>461.01</x:v>
      </x:c>
      <x:c r="F37" s="43" t="n">
        <x:f>IF(B37=B36,IFERROR(E37/E36-1,""),"")</x:f>
        <x:v>0.9730793922533703</x:v>
      </x:c>
      <x:c r="G37" s="42" t="n">
        <x:v>35.82</x:v>
      </x:c>
      <x:c r="H37" s="43" t="n">
        <x:f>IF(B37=B36,IFERROR(G37/G36-1,""),"")</x:f>
        <x:v>0.07891566265060224</x:v>
      </x:c>
      <x:c r="I37" s="42" t="n">
        <x:v>14.07</x:v>
      </x:c>
      <x:c r="J37" s="43" t="n">
        <x:f>IF(B37=B36,IFERROR(I37/I36-1,""),"")</x:f>
        <x:v>0.056306306306306286</x:v>
      </x:c>
      <x:c r="K37" s="36" t="str">
        <x:v>Pretax income</x:v>
      </x:c>
      <x:c r="L37" s="36" t="str">
        <x:v>Complete public proxy set</x:v>
      </x:c>
      <x:c r="M37" s="37" t="str">
        <x:v>https://companiesmarketcap.com/broadcom/marketcap/</x:v>
      </x:c>
      <x:c r="N37" s="37" t="str">
        <x:v>https://companiesmarketcap.com/broadcom/revenue/</x:v>
      </x:c>
      <x:c r="O37" s="37" t="str">
        <x:v>https://companiesmarketcap.com/broadcom/earnings/</x:v>
      </x:c>
      <x:c r="P37" s="47" t="str">
        <x:v>Core</x:v>
      </x:c>
    </x:row>
    <x:row r="38">
      <x:c r="A38" s="40" t="n">
        <x:v>2024</x:v>
      </x:c>
      <x:c r="B38" s="26" t="str">
        <x:v>Broadcom</x:v>
      </x:c>
      <x:c r="C38" s="26" t="str">
        <x:v>AVGO</x:v>
      </x:c>
      <x:c r="D38" s="26" t="str">
        <x:v>Public</x:v>
      </x:c>
      <x:c r="E38" s="42" t="n">
        <x:v>1133</x:v>
      </x:c>
      <x:c r="F38" s="43" t="n">
        <x:f>IF(B38=B37,IFERROR(E38/E37-1,""),"")</x:f>
        <x:v>1.4576473395371035</x:v>
      </x:c>
      <x:c r="G38" s="42" t="n">
        <x:v>54.52</x:v>
      </x:c>
      <x:c r="H38" s="43" t="n">
        <x:f>IF(B38=B37,IFERROR(G38/G37-1,""),"")</x:f>
        <x:v>0.5220547180346176</x:v>
      </x:c>
      <x:c r="I38" s="42" t="n">
        <x:v>17.96</x:v>
      </x:c>
      <x:c r="J38" s="43" t="n">
        <x:f>IF(B38=B37,IFERROR(I38/I37-1,""),"")</x:f>
        <x:v>0.27647476901208257</x:v>
      </x:c>
      <x:c r="K38" s="36" t="str">
        <x:v>Pretax income</x:v>
      </x:c>
      <x:c r="L38" s="36" t="str">
        <x:v>Complete public proxy set</x:v>
      </x:c>
      <x:c r="M38" s="37" t="str">
        <x:v>https://companiesmarketcap.com/broadcom/marketcap/</x:v>
      </x:c>
      <x:c r="N38" s="37" t="str">
        <x:v>https://companiesmarketcap.com/broadcom/revenue/</x:v>
      </x:c>
      <x:c r="O38" s="37" t="str">
        <x:v>https://companiesmarketcap.com/broadcom/earnings/</x:v>
      </x:c>
      <x:c r="P38" s="47" t="str">
        <x:v>Core</x:v>
      </x:c>
    </x:row>
    <x:row r="39">
      <x:c r="A39" s="40" t="n">
        <x:v>2025</x:v>
      </x:c>
      <x:c r="B39" s="26" t="str">
        <x:v>Broadcom</x:v>
      </x:c>
      <x:c r="C39" s="26" t="str">
        <x:v>AVGO</x:v>
      </x:c>
      <x:c r="D39" s="26" t="str">
        <x:v>Public</x:v>
      </x:c>
      <x:c r="E39" s="42" t="n">
        <x:v>1669</x:v>
      </x:c>
      <x:c r="F39" s="43" t="n">
        <x:f>IF(B39=B38,IFERROR(E39/E38-1,""),"")</x:f>
        <x:v>0.47308031774051185</x:v>
      </x:c>
      <x:c r="G39" s="42" t="n">
        <x:v>68.28</x:v>
      </x:c>
      <x:c r="H39" s="43" t="n">
        <x:f>IF(B39=B38,IFERROR(G39/G38-1,""),"")</x:f>
        <x:v>0.2523844460748348</x:v>
      </x:c>
      <x:c r="I39" s="42" t="n">
        <x:v>28.57</x:v>
      </x:c>
      <x:c r="J39" s="43" t="n">
        <x:f>IF(B39=B38,IFERROR(I39/I38-1,""),"")</x:f>
        <x:v>0.5907572383073496</x:v>
      </x:c>
      <x:c r="K39" s="36" t="str">
        <x:v>Pretax income</x:v>
      </x:c>
      <x:c r="L39" s="36" t="str">
        <x:v>Complete public proxy set</x:v>
      </x:c>
      <x:c r="M39" s="37" t="str">
        <x:v>https://companiesmarketcap.com/broadcom/marketcap/</x:v>
      </x:c>
      <x:c r="N39" s="37" t="str">
        <x:v>https://companiesmarketcap.com/broadcom/revenue/</x:v>
      </x:c>
      <x:c r="O39" s="37" t="str">
        <x:v>https://companiesmarketcap.com/broadcom/earnings/</x:v>
      </x:c>
      <x:c r="P39" s="47" t="str">
        <x:v>Core</x:v>
      </x:c>
    </x:row>
    <x:row r="40">
      <x:c r="A40" s="40" t="n">
        <x:v>2022</x:v>
      </x:c>
      <x:c r="B40" s="26" t="str">
        <x:v>TSMC</x:v>
      </x:c>
      <x:c r="C40" s="26" t="str">
        <x:v>TSM</x:v>
      </x:c>
      <x:c r="D40" s="26" t="str">
        <x:v>Public</x:v>
      </x:c>
      <x:c r="E40" s="42" t="n">
        <x:v>386.31</x:v>
      </x:c>
      <x:c r="F40" s="43" t="str">
        <x:f>IF(B40=B39,IFERROR(E40/E39-1,""),"")</x:f>
      </x:c>
      <x:c r="G40" s="42" t="n">
        <x:v>73.86</x:v>
      </x:c>
      <x:c r="H40" s="43" t="str">
        <x:f>IF(B40=B39,IFERROR(G40/G39-1,""),"")</x:f>
      </x:c>
      <x:c r="I40" s="42" t="n">
        <x:v>34.1</x:v>
      </x:c>
      <x:c r="J40" s="43" t="str">
        <x:f>IF(B40=B39,IFERROR(I40/I39-1,""),"")</x:f>
      </x:c>
      <x:c r="K40" s="36" t="str">
        <x:v>Pretax income</x:v>
      </x:c>
      <x:c r="L40" s="36" t="str">
        <x:v>Complete public proxy set</x:v>
      </x:c>
      <x:c r="M40" s="37" t="str">
        <x:v>https://companiesmarketcap.com/tsmc/marketcap/</x:v>
      </x:c>
      <x:c r="N40" s="37" t="str">
        <x:v>https://companiesmarketcap.com/tsmc/revenue/</x:v>
      </x:c>
      <x:c r="O40" s="37" t="str">
        <x:v>https://companiesmarketcap.com/tsmc/earnings/</x:v>
      </x:c>
      <x:c r="P40" s="47" t="str">
        <x:v>Core</x:v>
      </x:c>
    </x:row>
    <x:row r="41">
      <x:c r="A41" s="40" t="n">
        <x:v>2023</x:v>
      </x:c>
      <x:c r="B41" s="26" t="str">
        <x:v>TSMC</x:v>
      </x:c>
      <x:c r="C41" s="26" t="str">
        <x:v>TSM</x:v>
      </x:c>
      <x:c r="D41" s="26" t="str">
        <x:v>Public</x:v>
      </x:c>
      <x:c r="E41" s="42" t="n">
        <x:v>539.38</x:v>
      </x:c>
      <x:c r="F41" s="43" t="n">
        <x:f>IF(B41=B40,IFERROR(E41/E40-1,""),"")</x:f>
        <x:v>0.39623618337604505</x:v>
      </x:c>
      <x:c r="G41" s="42" t="n">
        <x:v>70.45</x:v>
      </x:c>
      <x:c r="H41" s="43" t="n">
        <x:f>IF(B41=B40,IFERROR(G41/G40-1,""),"")</x:f>
        <x:v>-0.046168426753317005</x:v>
      </x:c>
      <x:c r="I41" s="42" t="n">
        <x:v>31.17</x:v>
      </x:c>
      <x:c r="J41" s="43" t="n">
        <x:f>IF(B41=B40,IFERROR(I41/I40-1,""),"")</x:f>
        <x:v>-0.08592375366568916</x:v>
      </x:c>
      <x:c r="K41" s="36" t="str">
        <x:v>Pretax income</x:v>
      </x:c>
      <x:c r="L41" s="36" t="str">
        <x:v>Complete public proxy set</x:v>
      </x:c>
      <x:c r="M41" s="37" t="str">
        <x:v>https://companiesmarketcap.com/tsmc/marketcap/</x:v>
      </x:c>
      <x:c r="N41" s="37" t="str">
        <x:v>https://companiesmarketcap.com/tsmc/revenue/</x:v>
      </x:c>
      <x:c r="O41" s="37" t="str">
        <x:v>https://companiesmarketcap.com/tsmc/earnings/</x:v>
      </x:c>
      <x:c r="P41" s="47" t="str">
        <x:v>Core</x:v>
      </x:c>
    </x:row>
    <x:row r="42">
      <x:c r="A42" s="40" t="n">
        <x:v>2024</x:v>
      </x:c>
      <x:c r="B42" s="26" t="str">
        <x:v>TSMC</x:v>
      </x:c>
      <x:c r="C42" s="26" t="str">
        <x:v>TSM</x:v>
      </x:c>
      <x:c r="D42" s="26" t="str">
        <x:v>Public</x:v>
      </x:c>
      <x:c r="E42" s="42" t="n">
        <x:v>1045</x:v>
      </x:c>
      <x:c r="F42" s="43" t="n">
        <x:f>IF(B42=B41,IFERROR(E42/E41-1,""),"")</x:f>
        <x:v>0.9374096184508138</x:v>
      </x:c>
      <x:c r="G42" s="42" t="n">
        <x:v>88.34</x:v>
      </x:c>
      <x:c r="H42" s="43" t="n">
        <x:f>IF(B42=B41,IFERROR(G42/G41-1,""),"")</x:f>
        <x:v>0.2539389638041163</x:v>
      </x:c>
      <x:c r="I42" s="42" t="n">
        <x:v>42.91</x:v>
      </x:c>
      <x:c r="J42" s="43" t="n">
        <x:f>IF(B42=B41,IFERROR(I42/I41-1,""),"")</x:f>
        <x:v>0.37664420917548913</x:v>
      </x:c>
      <x:c r="K42" s="36" t="str">
        <x:v>Pretax income</x:v>
      </x:c>
      <x:c r="L42" s="36" t="str">
        <x:v>Complete public proxy set</x:v>
      </x:c>
      <x:c r="M42" s="37" t="str">
        <x:v>https://companiesmarketcap.com/tsmc/marketcap/</x:v>
      </x:c>
      <x:c r="N42" s="37" t="str">
        <x:v>https://companiesmarketcap.com/tsmc/revenue/</x:v>
      </x:c>
      <x:c r="O42" s="37" t="str">
        <x:v>https://companiesmarketcap.com/tsmc/earnings/</x:v>
      </x:c>
      <x:c r="P42" s="47" t="str">
        <x:v>Core</x:v>
      </x:c>
    </x:row>
    <x:row r="43">
      <x:c r="A43" s="48" t="n">
        <x:v>2025</x:v>
      </x:c>
      <x:c r="B43" s="49" t="str">
        <x:v>TSMC</x:v>
      </x:c>
      <x:c r="C43" s="49" t="str">
        <x:v>TSM</x:v>
      </x:c>
      <x:c r="D43" s="49" t="str">
        <x:v>Public</x:v>
      </x:c>
      <x:c r="E43" s="50" t="n">
        <x:v>1570</x:v>
      </x:c>
      <x:c r="F43" s="51" t="n">
        <x:f>IF(B43=B42,IFERROR(E43/E42-1,""),"")</x:f>
        <x:v>0.5023923444976077</x:v>
      </x:c>
      <x:c r="G43" s="50" t="n">
        <x:v>121.91</x:v>
      </x:c>
      <x:c r="H43" s="51" t="n">
        <x:f>IF(B43=B42,IFERROR(G43/G42-1,""),"")</x:f>
        <x:v>0.38000905592030776</x:v>
      </x:c>
      <x:c r="I43" s="50" t="n">
        <x:v>65.34</x:v>
      </x:c>
      <x:c r="J43" s="51" t="n">
        <x:f>IF(B43=B42,IFERROR(I43/I42-1,""),"")</x:f>
        <x:v>0.5227219762293174</x:v>
      </x:c>
      <x:c r="K43" s="52" t="str">
        <x:v>Pretax income</x:v>
      </x:c>
      <x:c r="L43" s="52" t="str">
        <x:v>Complete public proxy set</x:v>
      </x:c>
      <x:c r="M43" s="53" t="str">
        <x:v>https://companiesmarketcap.com/tsmc/marketcap/</x:v>
      </x:c>
      <x:c r="N43" s="53" t="str">
        <x:v>https://companiesmarketcap.com/tsmc/revenue/</x:v>
      </x:c>
      <x:c r="O43" s="53" t="str">
        <x:v>https://companiesmarketcap.com/tsmc/earnings/</x:v>
      </x:c>
      <x:c r="P43" s="54" t="str">
        <x:v>Core</x:v>
      </x:c>
    </x:row>
  </x:sheetData>
  <x:mergeCells>
    <x:mergeCell ref="A1:P1"/>
    <x:mergeCell ref="A2:P2"/>
  </x:mergeCells>
  <x:conditionalFormatting sqref="F4:F4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4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4:J43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95f34e164294e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  <x:col min="3" max="3" width="38" hidden="0" customWidth="1"/>
  </x:cols>
  <x:sheetData>
    <x:row r="1" ht="28" customHeight="1">
      <x:c r="A1" s="3" t="str">
        <x:v>Methodology, definitions and limitations</x:v>
      </x:c>
    </x:row>
    <x:row r="3">
      <x:c r="A3" s="17" t="str">
        <x:v>Topic</x:v>
      </x:c>
      <x:c r="B3" s="17" t="str">
        <x:v>Treatment in this workbook</x:v>
      </x:c>
    </x:row>
    <x:row r="4">
      <x:c r="A4" s="65" t="str">
        <x:v>Dot-com period</x:v>
      </x:c>
      <x:c r="B4" s="94" t="str">
        <x:v>1995–2002, covering the buildup, March 2000 peak and subsequent decline.</x:v>
      </x:c>
    </x:row>
    <x:row r="5">
      <x:c r="A5" s="65" t="str">
        <x:v>AI period</x:v>
      </x:c>
      <x:c r="B5" s="94" t="str">
        <x:v>Starts 30 November 2022 with ChatGPT's public launch. The end date is not known; annual comparison uses 2022–2025.</x:v>
      </x:c>
    </x:row>
    <x:row r="6">
      <x:c r="A6" s="65" t="str">
        <x:v>Invested amount</x:v>
      </x:c>
      <x:c r="B6" s="94" t="str">
        <x:v>Year-end market capitalisation or reported private valuation is used as a proxy. It is not cash invested or capital expenditure.</x:v>
      </x:c>
    </x:row>
    <x:row r="7">
      <x:c r="A7" s="65" t="str">
        <x:v>Market share growth</x:v>
      </x:c>
      <x:c r="B7" s="94" t="str">
        <x:v>Year-over-year market-value growth is used because product-market shares are not comparable across industries.</x:v>
      </x:c>
    </x:row>
    <x:row r="8">
      <x:c r="A8" s="65" t="str">
        <x:v>Revenue</x:v>
      </x:c>
      <x:c r="B8" s="94" t="str">
        <x:v>Annual company revenue in USD billions; fiscal/calendar alignment can differ between companies.</x:v>
      </x:c>
    </x:row>
    <x:row r="9">
      <x:c r="A9" s="65" t="str">
        <x:v>Profit / earnings proxy</x:v>
      </x:c>
      <x:c r="B9" s="94" t="str">
        <x:v>EBIT or pretax income depending on source. It is not a perfectly uniform GAAP net-income measure.</x:v>
      </x:c>
    </x:row>
    <x:row r="10">
      <x:c r="A10" s="65" t="str">
        <x:v>Private companies</x:v>
      </x:c>
      <x:c r="B10" s="94" t="str">
        <x:v>OpenAI and Anthropic valuation/revenue figures are reported estimates; profit is not publicly disclosed.</x:v>
      </x:c>
    </x:row>
    <x:row r="11">
      <x:c r="A11" s="65" t="str">
        <x:v>Missing data</x:v>
      </x:c>
      <x:c r="B11" s="94" t="str">
        <x:v>Blank cells are intentional where data was unavailable, the company was not yet listed, merged, or became bankrupt.</x:v>
      </x:c>
    </x:row>
    <x:row r="12">
      <x:c r="A12" s="65" t="str">
        <x:v>Chart baskets</x:v>
      </x:c>
      <x:c r="B12" s="94" t="str">
        <x:v>Dot-com chart uses five firms with continuous 1996–2002 data; AI chart uses eight listed firms for 2022–2025.</x:v>
      </x:c>
    </x:row>
    <x:row r="13">
      <x:c r="A13" s="65" t="str">
        <x:v>Warning</x:v>
      </x:c>
      <x:c r="B13" s="94" t="str">
        <x:v>Historical analysis only; not a recommendation to buy or sell securities.</x:v>
      </x:c>
    </x:row>
    <x:row r="16">
      <x:c r="A16" s="3" t="str">
        <x:v>Primary source references</x:v>
      </x:c>
    </x:row>
    <x:row r="17">
      <x:c r="A17" s="96" t="str">
        <x:v>ChatGPT launch</x:v>
      </x:c>
      <x:c r="B17" s="37" t="str">
        <x:v>https://openai.com/index/chatgpt/</x:v>
      </x:c>
      <x:c r="C17" s="94" t="str">
        <x:v>Official date: 30 November 2022</x:v>
      </x:c>
    </x:row>
    <x:row r="18">
      <x:c r="A18" s="96" t="str">
        <x:v>Public-company market values</x:v>
      </x:c>
      <x:c r="B18" s="37" t="str">
        <x:v>https://companiesmarketcap.com/</x:v>
      </x:c>
      <x:c r="C18" s="94" t="str">
        <x:v>Year-end market-capitalisation histories</x:v>
      </x:c>
    </x:row>
    <x:row r="19">
      <x:c r="A19" s="96" t="str">
        <x:v>Public-company revenue</x:v>
      </x:c>
      <x:c r="B19" s="37" t="str">
        <x:v>https://companiesmarketcap.com/</x:v>
      </x:c>
      <x:c r="C19" s="94" t="str">
        <x:v>Annual revenue histories</x:v>
      </x:c>
    </x:row>
    <x:row r="20">
      <x:c r="A20" s="96" t="str">
        <x:v>Public-company profit proxy</x:v>
      </x:c>
      <x:c r="B20" s="37" t="str">
        <x:v>https://companiesmarketcap.com/</x:v>
      </x:c>
      <x:c r="C20" s="94" t="str">
        <x:v>EBIT or pretax-income histories</x:v>
      </x:c>
    </x:row>
    <x:row r="21">
      <x:c r="A21" s="96" t="str">
        <x:v>OpenAI private valuation</x:v>
      </x:c>
      <x:c r="B21" s="37" t="str">
        <x:v>https://www.reuters.com/technology/openai-hits-500-billion-valuation-after-share-sale-source-says-2025-10-02/</x:v>
      </x:c>
      <x:c r="C21" s="94" t="str">
        <x:v>Reported private valuation</x:v>
      </x:c>
    </x:row>
    <x:row r="22">
      <x:c r="A22" s="96" t="str">
        <x:v>Anthropic private valuation</x:v>
      </x:c>
      <x:c r="B22" s="37" t="str">
        <x:v>https://www.reuters.com/business/anthropics-valuation-more-than-doubles-183-billion-after-13-billion-fundraise-2025-09-02/</x:v>
      </x:c>
      <x:c r="C22" s="94" t="str">
        <x:v>Reported private valuation</x:v>
      </x:c>
    </x:row>
  </x:sheetData>
  <x:mergeCells>
    <x:mergeCell ref="A1:C1"/>
    <x:mergeCell ref="A16:C16"/>
  </x:mergeCells>
  <x:pageMargins left="0.7" right="0.7" top="0.75" bottom="0.75" header="0.3" footer="0.3"/>
</x:worksheet>
</file>